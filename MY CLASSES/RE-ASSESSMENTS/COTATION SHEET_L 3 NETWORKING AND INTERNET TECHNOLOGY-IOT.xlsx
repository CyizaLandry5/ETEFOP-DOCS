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andry\3D Objects\ETEFOP Trainer Docs\Revised_COTATION SHEETS THIRD TERM 2024-2025\"/>
    </mc:Choice>
  </mc:AlternateContent>
  <bookViews>
    <workbookView xWindow="0" yWindow="0" windowWidth="24000" windowHeight="9525"/>
  </bookViews>
  <sheets>
    <sheet name="Sheet1" sheetId="1" r:id="rId1"/>
  </sheets>
  <definedNames>
    <definedName name="_xlnm.Print_Area" localSheetId="0">Sheet1!$B$4:$O$79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9" i="1" l="1"/>
  <c r="J78" i="1"/>
  <c r="K78" i="1" s="1"/>
  <c r="J77" i="1"/>
  <c r="K76" i="1"/>
  <c r="J76" i="1"/>
  <c r="J75" i="1"/>
  <c r="K75" i="1" s="1"/>
  <c r="J74" i="1"/>
  <c r="K74" i="1" s="1"/>
  <c r="J73" i="1"/>
  <c r="J72" i="1"/>
  <c r="J71" i="1"/>
  <c r="K71" i="1" s="1"/>
  <c r="J70" i="1"/>
  <c r="J69" i="1"/>
  <c r="K69" i="1" s="1"/>
  <c r="J68" i="1"/>
  <c r="K68" i="1" s="1"/>
  <c r="J67" i="1"/>
  <c r="K67" i="1" s="1"/>
  <c r="J66" i="1"/>
  <c r="J65" i="1"/>
  <c r="J64" i="1"/>
  <c r="J63" i="1"/>
  <c r="K63" i="1" s="1"/>
  <c r="J62" i="1"/>
  <c r="K62" i="1" s="1"/>
  <c r="J61" i="1"/>
  <c r="J60" i="1"/>
  <c r="K60" i="1" s="1"/>
  <c r="J59" i="1"/>
  <c r="K59" i="1" s="1"/>
  <c r="J58" i="1"/>
  <c r="K58" i="1" s="1"/>
  <c r="J57" i="1"/>
  <c r="J56" i="1"/>
  <c r="J55" i="1"/>
  <c r="K55" i="1" s="1"/>
  <c r="J54" i="1"/>
  <c r="J53" i="1"/>
  <c r="K53" i="1" s="1"/>
  <c r="J52" i="1"/>
  <c r="J51" i="1"/>
  <c r="K51" i="1" s="1"/>
  <c r="J50" i="1"/>
  <c r="K50" i="1" s="1"/>
  <c r="J49" i="1"/>
  <c r="J48" i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J41" i="1"/>
  <c r="O41" i="1" s="1"/>
  <c r="J40" i="1"/>
  <c r="J39" i="1"/>
  <c r="K39" i="1" s="1"/>
  <c r="J38" i="1"/>
  <c r="J37" i="1"/>
  <c r="K37" i="1" s="1"/>
  <c r="J36" i="1"/>
  <c r="J35" i="1"/>
  <c r="K35" i="1" s="1"/>
  <c r="J34" i="1"/>
  <c r="J33" i="1"/>
  <c r="J32" i="1"/>
  <c r="J31" i="1"/>
  <c r="K31" i="1" s="1"/>
  <c r="J30" i="1"/>
  <c r="K30" i="1" s="1"/>
  <c r="J29" i="1"/>
  <c r="J28" i="1"/>
  <c r="K28" i="1" s="1"/>
  <c r="J27" i="1"/>
  <c r="K27" i="1" s="1"/>
  <c r="J26" i="1"/>
  <c r="K26" i="1" s="1"/>
  <c r="J25" i="1"/>
  <c r="J24" i="1"/>
  <c r="J23" i="1"/>
  <c r="K23" i="1" s="1"/>
  <c r="J22" i="1"/>
  <c r="O22" i="1" s="1"/>
  <c r="J21" i="1"/>
  <c r="K21" i="1" s="1"/>
  <c r="J20" i="1"/>
  <c r="K20" i="1" s="1"/>
  <c r="J19" i="1"/>
  <c r="K19" i="1" s="1"/>
  <c r="O17" i="1"/>
  <c r="P15" i="1"/>
  <c r="O78" i="1" s="1"/>
  <c r="J12" i="1"/>
  <c r="K12" i="1" s="1"/>
  <c r="A1" i="1"/>
  <c r="O74" i="1" l="1"/>
  <c r="O26" i="1"/>
  <c r="O32" i="1"/>
  <c r="O38" i="1"/>
  <c r="O57" i="1"/>
  <c r="O66" i="1"/>
  <c r="O42" i="1"/>
  <c r="O48" i="1"/>
  <c r="O54" i="1"/>
  <c r="O73" i="1"/>
  <c r="O25" i="1"/>
  <c r="O34" i="1"/>
  <c r="O58" i="1"/>
  <c r="O64" i="1"/>
  <c r="O70" i="1"/>
  <c r="O29" i="1"/>
  <c r="O30" i="1"/>
  <c r="K32" i="1"/>
  <c r="K34" i="1"/>
  <c r="O36" i="1"/>
  <c r="O52" i="1"/>
  <c r="K57" i="1"/>
  <c r="O61" i="1"/>
  <c r="O62" i="1"/>
  <c r="K64" i="1"/>
  <c r="K66" i="1"/>
  <c r="K73" i="1"/>
  <c r="O77" i="1"/>
  <c r="K22" i="1"/>
  <c r="O24" i="1"/>
  <c r="K29" i="1"/>
  <c r="O33" i="1"/>
  <c r="K36" i="1"/>
  <c r="K38" i="1"/>
  <c r="O40" i="1"/>
  <c r="O49" i="1"/>
  <c r="O50" i="1"/>
  <c r="K52" i="1"/>
  <c r="K54" i="1"/>
  <c r="O56" i="1"/>
  <c r="K61" i="1"/>
  <c r="O65" i="1"/>
  <c r="K70" i="1"/>
  <c r="O72" i="1"/>
  <c r="K77" i="1"/>
  <c r="O79" i="1"/>
  <c r="O71" i="1"/>
  <c r="O20" i="1"/>
  <c r="K25" i="1"/>
  <c r="K41" i="1"/>
  <c r="O45" i="1"/>
  <c r="O46" i="1"/>
  <c r="K48" i="1"/>
  <c r="O68" i="1"/>
  <c r="O75" i="1"/>
  <c r="O12" i="1"/>
  <c r="O21" i="1"/>
  <c r="K24" i="1"/>
  <c r="O28" i="1"/>
  <c r="K33" i="1"/>
  <c r="O37" i="1"/>
  <c r="K40" i="1"/>
  <c r="O44" i="1"/>
  <c r="K49" i="1"/>
  <c r="O53" i="1"/>
  <c r="K56" i="1"/>
  <c r="O60" i="1"/>
  <c r="K65" i="1"/>
  <c r="O69" i="1"/>
  <c r="K72" i="1"/>
  <c r="O76" i="1"/>
  <c r="K79" i="1"/>
  <c r="O19" i="1"/>
  <c r="O23" i="1"/>
  <c r="O27" i="1"/>
  <c r="O31" i="1"/>
  <c r="O35" i="1"/>
  <c r="O39" i="1"/>
  <c r="O43" i="1"/>
  <c r="O47" i="1"/>
  <c r="O51" i="1"/>
  <c r="O55" i="1"/>
  <c r="O59" i="1"/>
  <c r="O63" i="1"/>
  <c r="O67" i="1"/>
</calcChain>
</file>

<file path=xl/sharedStrings.xml><?xml version="1.0" encoding="utf-8"?>
<sst xmlns="http://schemas.openxmlformats.org/spreadsheetml/2006/main" count="161" uniqueCount="160">
  <si>
    <t>ACADEMIC YEAR 2024-2025</t>
  </si>
  <si>
    <t>TRAINER’S NAMES:</t>
  </si>
  <si>
    <t>COTATION SHEETS</t>
  </si>
  <si>
    <t>THIRD TERM</t>
  </si>
  <si>
    <t>CLASS NAME:</t>
  </si>
  <si>
    <t>L 3 NETWORKING AND INTERNET TECHNOLOGY</t>
  </si>
  <si>
    <t>MODULES DETAILS</t>
  </si>
  <si>
    <t>MODULE CODE</t>
  </si>
  <si>
    <t xml:space="preserve"> MODULE NAME</t>
  </si>
  <si>
    <t>Module Type</t>
  </si>
  <si>
    <t>STUDENTS DETAILS</t>
  </si>
  <si>
    <t>No.</t>
  </si>
  <si>
    <t>Trainee Code</t>
  </si>
  <si>
    <t>Trainees Names</t>
  </si>
  <si>
    <t>Marks Obtained</t>
  </si>
  <si>
    <t>Max</t>
  </si>
  <si>
    <t>Re-Assessment Results</t>
  </si>
  <si>
    <t>F.A 1</t>
  </si>
  <si>
    <t>F.A 2</t>
  </si>
  <si>
    <t>F.A 3</t>
  </si>
  <si>
    <t>EXAM</t>
  </si>
  <si>
    <t>I.A</t>
  </si>
  <si>
    <t>Total</t>
  </si>
  <si>
    <t>......</t>
  </si>
  <si>
    <t>DECISION</t>
  </si>
  <si>
    <t>03324NET278</t>
  </si>
  <si>
    <t>BYIRINGIRO Etienne</t>
  </si>
  <si>
    <t>03324NET249</t>
  </si>
  <si>
    <t>GANZA Emmanuel Blessor</t>
  </si>
  <si>
    <t>03324NET281</t>
  </si>
  <si>
    <t>GIRINSHUTI EGIDE</t>
  </si>
  <si>
    <t>03324NET256</t>
  </si>
  <si>
    <t>HAVUGIMANA  Dieme</t>
  </si>
  <si>
    <t>03324NET253</t>
  </si>
  <si>
    <t>HIRWA  FABRICE</t>
  </si>
  <si>
    <t>03324NET304</t>
  </si>
  <si>
    <t>HIRWA Aimable</t>
  </si>
  <si>
    <t>03324NET312</t>
  </si>
  <si>
    <t>IGIHOZO Latipha</t>
  </si>
  <si>
    <t>03324NET257</t>
  </si>
  <si>
    <t>IMPANO Beni Maxime</t>
  </si>
  <si>
    <t>03324NET789</t>
  </si>
  <si>
    <t>IRAKOZE AGAPE</t>
  </si>
  <si>
    <t>03324NET287</t>
  </si>
  <si>
    <t>IRAKOZE Rodrigue</t>
  </si>
  <si>
    <t>03324NET255</t>
  </si>
  <si>
    <t>IRANZI MUCYO Justin</t>
  </si>
  <si>
    <t>03324NET283</t>
  </si>
  <si>
    <t>ISHIMWE Gift</t>
  </si>
  <si>
    <t>03324NET311</t>
  </si>
  <si>
    <t>ISHIMWE Josuee</t>
  </si>
  <si>
    <t>03324NET268</t>
  </si>
  <si>
    <t>IYAMUMPAYE Reoboth</t>
  </si>
  <si>
    <t>03324NET337</t>
  </si>
  <si>
    <t>KUNDWA Irene</t>
  </si>
  <si>
    <t>03324NET289</t>
  </si>
  <si>
    <t>KWIZERA  Arthur</t>
  </si>
  <si>
    <t>03324NET790</t>
  </si>
  <si>
    <t>KWIZERA Charles</t>
  </si>
  <si>
    <t>03324NET284</t>
  </si>
  <si>
    <t>MAKARA  Queen Dorcas</t>
  </si>
  <si>
    <t>03324NET313</t>
  </si>
  <si>
    <t>MANIRAHARI Denyse</t>
  </si>
  <si>
    <t>03324NET254</t>
  </si>
  <si>
    <t>MANIRARORA Jean Paul</t>
  </si>
  <si>
    <t>03324NET308</t>
  </si>
  <si>
    <t>MANISHIMWE  ELIE</t>
  </si>
  <si>
    <t>03324NET314</t>
  </si>
  <si>
    <t>MBERABAHIZI Lionceau</t>
  </si>
  <si>
    <t>03324NET306</t>
  </si>
  <si>
    <t>MUGISHA Josue</t>
  </si>
  <si>
    <t>03324NET273</t>
  </si>
  <si>
    <t>MUSHIMIYIMANA  Angelique</t>
  </si>
  <si>
    <t>03324NET280</t>
  </si>
  <si>
    <t>MUSHIMIYIMANA  Noella</t>
  </si>
  <si>
    <t>03324NET296</t>
  </si>
  <si>
    <t>MWITEDAWE Rose</t>
  </si>
  <si>
    <t>03324NET261</t>
  </si>
  <si>
    <t>NDASHIMYE SHAMI Regis</t>
  </si>
  <si>
    <t>03324NET271</t>
  </si>
  <si>
    <t>NDAYISHIMYE Bonheur</t>
  </si>
  <si>
    <t>03323AUT14</t>
  </si>
  <si>
    <t xml:space="preserve">NDUWAYEZU ANSELME </t>
  </si>
  <si>
    <t>03324NET279</t>
  </si>
  <si>
    <t>NIBEHO  Marie Souzan</t>
  </si>
  <si>
    <t>03324NET277</t>
  </si>
  <si>
    <t>NIMURAGIRE RUKUNDO Metuschelah</t>
  </si>
  <si>
    <t>03324NET300</t>
  </si>
  <si>
    <t>NIWESHEMA  Jean Confiance</t>
  </si>
  <si>
    <t>03324NET302</t>
  </si>
  <si>
    <t>NIYIGENA Fabrice</t>
  </si>
  <si>
    <t>03324NET266</t>
  </si>
  <si>
    <t>NIYOGUSHIMWA  Hornella</t>
  </si>
  <si>
    <t>03324NET292</t>
  </si>
  <si>
    <t>NIYOKWIRINGIRA  Jean Damour</t>
  </si>
  <si>
    <t>03324NET260</t>
  </si>
  <si>
    <t>NIYOYABIKOZE  Valens</t>
  </si>
  <si>
    <t>03324NET305</t>
  </si>
  <si>
    <t>NSHIMIYIMANA SIMON</t>
  </si>
  <si>
    <t>03324NET290</t>
  </si>
  <si>
    <t>NTIVUGURUZWA  LEOBENI</t>
  </si>
  <si>
    <t>03324NET288</t>
  </si>
  <si>
    <t>NYUZWENAYESU DORCUS</t>
  </si>
  <si>
    <t>03324NET336</t>
  </si>
  <si>
    <t>NZIZA Divin</t>
  </si>
  <si>
    <t>03324NET276</t>
  </si>
  <si>
    <t>REMEZO John</t>
  </si>
  <si>
    <t>03324NET286</t>
  </si>
  <si>
    <t>RUKUNDO Christian</t>
  </si>
  <si>
    <t>03324NET274</t>
  </si>
  <si>
    <t>RURABO Honorine</t>
  </si>
  <si>
    <t>03324NET291</t>
  </si>
  <si>
    <t>SHEMA Fidele</t>
  </si>
  <si>
    <t>03324NET259</t>
  </si>
  <si>
    <t>TUYAMBAZE Jean Julien Edmond</t>
  </si>
  <si>
    <t>03324NET309</t>
  </si>
  <si>
    <t>TUYIRAMYE Merry Eloise</t>
  </si>
  <si>
    <t>03324NET263</t>
  </si>
  <si>
    <t>TUYISHIME  kEVIN</t>
  </si>
  <si>
    <t>03324NET301</t>
  </si>
  <si>
    <t>TUYISINGIZE Theophile</t>
  </si>
  <si>
    <t>03323NET231</t>
  </si>
  <si>
    <t>UWIRINGIYIMANA CLEMENTINE</t>
  </si>
  <si>
    <t>Not yet Competent</t>
  </si>
  <si>
    <t>Ongoing</t>
  </si>
  <si>
    <t>03324NET252</t>
  </si>
  <si>
    <t>TUYIZERE  Gervais</t>
  </si>
  <si>
    <t>03323NET232</t>
  </si>
  <si>
    <t>YESARAKIZA  PATIENCE</t>
  </si>
  <si>
    <t>Competent</t>
  </si>
  <si>
    <t xml:space="preserve"> </t>
  </si>
  <si>
    <t>03324NET315</t>
  </si>
  <si>
    <t>TUYIZERE ALICE</t>
  </si>
  <si>
    <t>03324NET285</t>
  </si>
  <si>
    <t>UMUBYEYI Rehema</t>
  </si>
  <si>
    <t>03324NET310</t>
  </si>
  <si>
    <t>UWAJENEZA Julienne</t>
  </si>
  <si>
    <t>03324NET272</t>
  </si>
  <si>
    <t>UWANYIRIGIRA Laurence</t>
  </si>
  <si>
    <t>03324NET299</t>
  </si>
  <si>
    <t>UWASE  Milly</t>
  </si>
  <si>
    <t>03324NET297</t>
  </si>
  <si>
    <t>UWASE Brian</t>
  </si>
  <si>
    <t>03324NET298</t>
  </si>
  <si>
    <t>UWAYO Adeline</t>
  </si>
  <si>
    <t>03324NET264</t>
  </si>
  <si>
    <t>UWAZIGIRA  Marie Claire</t>
  </si>
  <si>
    <t>03324ELE295</t>
  </si>
  <si>
    <t>UWERA Aliane</t>
  </si>
  <si>
    <t>03324NET307</t>
  </si>
  <si>
    <t>UWIHIRWE Olivier</t>
  </si>
  <si>
    <t>03324NET270</t>
  </si>
  <si>
    <t>UWIZEYIMANA DANY</t>
  </si>
  <si>
    <t>03324NET262</t>
  </si>
  <si>
    <t>UWUMUREMYI Zamda</t>
  </si>
  <si>
    <t>SM</t>
  </si>
  <si>
    <t>Completed</t>
  </si>
  <si>
    <t xml:space="preserve"> MPAYIMANA CYIZA Landry</t>
  </si>
  <si>
    <t>IOT SYSTEM INSTALLATON</t>
  </si>
  <si>
    <t>NITIS301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</si>
</sst>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sz val="11"/>
      <color theme="4" tint="0.3999755851924192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i/>
      <u/>
      <sz val="11"/>
      <color theme="1"/>
      <name val="Arial"/>
      <family val="2"/>
    </font>
    <font>
      <b/>
      <i/>
      <sz val="14"/>
      <color theme="1"/>
      <name val="Arial"/>
      <family val="2"/>
    </font>
    <font>
      <b/>
      <sz val="14"/>
      <color theme="1"/>
      <name val="Arial Narrow"/>
      <family val="2"/>
    </font>
    <font>
      <b/>
      <sz val="11"/>
      <color theme="0"/>
      <name val="Century Gothic"/>
      <family val="2"/>
    </font>
    <font>
      <b/>
      <sz val="11"/>
      <color theme="0"/>
      <name val="Arial"/>
      <family val="2"/>
    </font>
    <font>
      <b/>
      <i/>
      <sz val="16"/>
      <color theme="1" tint="4.9989318521683403E-2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color theme="3" tint="0.79998168889431442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gradientFill degree="90">
        <stop position="0">
          <color theme="4" tint="0.40000610370189521"/>
        </stop>
        <stop position="1">
          <color theme="4" tint="0.59999389629810485"/>
        </stop>
      </gradient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gradientFill degree="90">
        <stop position="0">
          <color theme="3" tint="0.40000610370189521"/>
        </stop>
        <stop position="1">
          <color theme="6" tint="0.59999389629810485"/>
        </stop>
      </gradientFill>
    </fill>
    <fill>
      <patternFill patternType="solid">
        <fgColor theme="6" tint="0.59999389629810485"/>
        <bgColor indexed="64"/>
      </patternFill>
    </fill>
    <fill>
      <patternFill patternType="solid">
        <fgColor rgb="FFFE6B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Protection="1"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left"/>
      <protection hidden="1"/>
    </xf>
    <xf numFmtId="0" fontId="0" fillId="0" borderId="0" xfId="0" applyProtection="1">
      <protection hidden="1"/>
    </xf>
    <xf numFmtId="0" fontId="0" fillId="2" borderId="0" xfId="0" applyFill="1" applyProtection="1">
      <protection hidden="1"/>
    </xf>
    <xf numFmtId="0" fontId="0" fillId="3" borderId="0" xfId="0" applyFill="1" applyProtection="1">
      <protection hidden="1"/>
    </xf>
    <xf numFmtId="0" fontId="0" fillId="3" borderId="0" xfId="0" applyFill="1" applyAlignment="1" applyProtection="1">
      <alignment horizontal="center" vertical="center"/>
      <protection hidden="1"/>
    </xf>
    <xf numFmtId="0" fontId="0" fillId="3" borderId="0" xfId="0" applyFill="1" applyAlignment="1" applyProtection="1">
      <alignment horizontal="left"/>
      <protection hidden="1"/>
    </xf>
    <xf numFmtId="0" fontId="0" fillId="4" borderId="0" xfId="0" applyFill="1" applyProtection="1"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left"/>
      <protection hidden="1"/>
    </xf>
    <xf numFmtId="0" fontId="2" fillId="0" borderId="0" xfId="0" applyFont="1" applyProtection="1">
      <protection hidden="1"/>
    </xf>
    <xf numFmtId="0" fontId="3" fillId="0" borderId="0" xfId="0" applyFont="1" applyAlignment="1" applyProtection="1">
      <alignment horizontal="left" vertical="center"/>
      <protection hidden="1"/>
    </xf>
    <xf numFmtId="0" fontId="4" fillId="0" borderId="0" xfId="0" applyFont="1" applyAlignment="1" applyProtection="1">
      <alignment horizontal="left"/>
      <protection hidden="1"/>
    </xf>
    <xf numFmtId="0" fontId="4" fillId="0" borderId="0" xfId="0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/>
      <protection locked="0"/>
    </xf>
    <xf numFmtId="0" fontId="8" fillId="6" borderId="5" xfId="0" applyFont="1" applyFill="1" applyBorder="1" applyAlignment="1" applyProtection="1">
      <alignment horizontal="left" vertical="center"/>
      <protection locked="0"/>
    </xf>
    <xf numFmtId="0" fontId="10" fillId="8" borderId="5" xfId="0" applyFont="1" applyFill="1" applyBorder="1" applyAlignment="1" applyProtection="1">
      <alignment vertical="center"/>
      <protection hidden="1"/>
    </xf>
    <xf numFmtId="0" fontId="12" fillId="10" borderId="5" xfId="0" applyFont="1" applyFill="1" applyBorder="1" applyAlignment="1" applyProtection="1">
      <alignment horizontal="center" vertical="center"/>
      <protection locked="0"/>
    </xf>
    <xf numFmtId="0" fontId="14" fillId="11" borderId="7" xfId="0" applyFont="1" applyFill="1" applyBorder="1" applyAlignment="1" applyProtection="1">
      <alignment horizontal="center" vertical="center"/>
      <protection hidden="1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0" fillId="12" borderId="7" xfId="0" applyFont="1" applyFill="1" applyBorder="1" applyAlignment="1" applyProtection="1">
      <alignment horizontal="center" vertical="center"/>
      <protection hidden="1"/>
    </xf>
    <xf numFmtId="0" fontId="2" fillId="12" borderId="7" xfId="0" applyFont="1" applyFill="1" applyBorder="1" applyAlignment="1" applyProtection="1">
      <alignment horizontal="center" vertical="center"/>
      <protection hidden="1"/>
    </xf>
    <xf numFmtId="0" fontId="16" fillId="10" borderId="7" xfId="0" applyFont="1" applyFill="1" applyBorder="1" applyAlignment="1" applyProtection="1">
      <alignment horizontal="center" vertical="center"/>
      <protection locked="0"/>
    </xf>
    <xf numFmtId="0" fontId="0" fillId="13" borderId="7" xfId="0" applyFont="1" applyFill="1" applyBorder="1" applyAlignment="1" applyProtection="1">
      <alignment horizontal="center" vertical="center"/>
      <protection locked="0"/>
    </xf>
    <xf numFmtId="0" fontId="17" fillId="12" borderId="7" xfId="0" applyFont="1" applyFill="1" applyBorder="1" applyAlignment="1" applyProtection="1">
      <alignment horizontal="center" vertical="center"/>
      <protection hidden="1"/>
    </xf>
    <xf numFmtId="0" fontId="18" fillId="14" borderId="7" xfId="0" applyFont="1" applyFill="1" applyBorder="1" applyAlignment="1" applyProtection="1">
      <alignment horizontal="left" vertical="center" wrapText="1"/>
      <protection hidden="1"/>
    </xf>
    <xf numFmtId="0" fontId="0" fillId="0" borderId="0" xfId="0" applyFont="1" applyAlignment="1" applyProtection="1">
      <alignment horizontal="center" vertical="center"/>
      <protection hidden="1"/>
    </xf>
    <xf numFmtId="0" fontId="19" fillId="0" borderId="0" xfId="0" applyFont="1" applyAlignment="1" applyProtection="1">
      <alignment horizontal="left"/>
      <protection hidden="1"/>
    </xf>
    <xf numFmtId="0" fontId="19" fillId="15" borderId="0" xfId="0" applyFont="1" applyFill="1" applyBorder="1" applyAlignment="1" applyProtection="1">
      <alignment horizontal="left" vertical="center"/>
      <protection hidden="1"/>
    </xf>
    <xf numFmtId="0" fontId="0" fillId="10" borderId="0" xfId="0" applyFon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hidden="1"/>
    </xf>
    <xf numFmtId="0" fontId="19" fillId="0" borderId="0" xfId="0" applyFont="1" applyBorder="1" applyAlignment="1" applyProtection="1">
      <alignment horizontal="left"/>
      <protection hidden="1"/>
    </xf>
    <xf numFmtId="0" fontId="0" fillId="0" borderId="0" xfId="0" applyFont="1" applyBorder="1" applyAlignment="1" applyProtection="1">
      <alignment horizontal="center" vertical="center"/>
      <protection locked="0"/>
    </xf>
    <xf numFmtId="0" fontId="20" fillId="10" borderId="0" xfId="0" applyFont="1" applyFill="1" applyBorder="1" applyAlignment="1" applyProtection="1">
      <alignment horizontal="center" vertical="center"/>
      <protection hidden="1"/>
    </xf>
    <xf numFmtId="0" fontId="19" fillId="0" borderId="0" xfId="0" applyFont="1" applyProtection="1">
      <protection hidden="1"/>
    </xf>
    <xf numFmtId="0" fontId="0" fillId="0" borderId="0" xfId="0" applyFont="1" applyAlignment="1" applyProtection="1">
      <alignment horizontal="center" vertical="center"/>
      <protection locked="0"/>
    </xf>
    <xf numFmtId="0" fontId="19" fillId="0" borderId="0" xfId="0" applyFont="1" applyBorder="1" applyProtection="1">
      <protection hidden="1"/>
    </xf>
    <xf numFmtId="0" fontId="0" fillId="0" borderId="0" xfId="0" applyAlignment="1" applyProtection="1">
      <alignment horizontal="center" vertical="center"/>
      <protection locked="0"/>
    </xf>
    <xf numFmtId="0" fontId="11" fillId="9" borderId="7" xfId="0" applyFont="1" applyFill="1" applyBorder="1" applyAlignment="1" applyProtection="1">
      <alignment horizontal="center" vertical="center" wrapText="1"/>
      <protection hidden="1"/>
    </xf>
    <xf numFmtId="0" fontId="12" fillId="10" borderId="3" xfId="0" applyFont="1" applyFill="1" applyBorder="1" applyAlignment="1" applyProtection="1">
      <alignment horizontal="left" vertical="center"/>
      <protection locked="0"/>
    </xf>
    <xf numFmtId="0" fontId="12" fillId="10" borderId="4" xfId="0" applyFont="1" applyFill="1" applyBorder="1" applyAlignment="1" applyProtection="1">
      <alignment horizontal="left" vertical="center"/>
      <protection locked="0"/>
    </xf>
    <xf numFmtId="0" fontId="12" fillId="10" borderId="5" xfId="0" applyFont="1" applyFill="1" applyBorder="1" applyAlignment="1" applyProtection="1">
      <alignment horizontal="left" vertical="center"/>
      <protection locked="0"/>
    </xf>
    <xf numFmtId="0" fontId="4" fillId="9" borderId="7" xfId="0" applyFont="1" applyFill="1" applyBorder="1" applyAlignment="1" applyProtection="1">
      <alignment horizontal="center" vertical="center" wrapText="1"/>
      <protection hidden="1"/>
    </xf>
    <xf numFmtId="0" fontId="4" fillId="9" borderId="8" xfId="0" applyFont="1" applyFill="1" applyBorder="1" applyAlignment="1" applyProtection="1">
      <alignment horizontal="left" vertical="center" wrapText="1"/>
      <protection hidden="1"/>
    </xf>
    <xf numFmtId="0" fontId="4" fillId="9" borderId="9" xfId="0" applyFont="1" applyFill="1" applyBorder="1" applyAlignment="1" applyProtection="1">
      <alignment horizontal="left" vertical="center" wrapText="1"/>
      <protection hidden="1"/>
    </xf>
    <xf numFmtId="0" fontId="4" fillId="9" borderId="6" xfId="0" applyFont="1" applyFill="1" applyBorder="1" applyAlignment="1" applyProtection="1">
      <alignment horizontal="left" vertical="center" wrapText="1"/>
      <protection hidden="1"/>
    </xf>
    <xf numFmtId="0" fontId="3" fillId="9" borderId="7" xfId="0" applyFont="1" applyFill="1" applyBorder="1" applyAlignment="1" applyProtection="1">
      <alignment horizontal="center" vertical="center"/>
      <protection hidden="1"/>
    </xf>
    <xf numFmtId="0" fontId="13" fillId="11" borderId="3" xfId="0" applyFont="1" applyFill="1" applyBorder="1" applyAlignment="1" applyProtection="1">
      <alignment horizontal="center" vertical="center" wrapText="1"/>
      <protection hidden="1"/>
    </xf>
    <xf numFmtId="0" fontId="13" fillId="11" borderId="4" xfId="0" applyFont="1" applyFill="1" applyBorder="1" applyAlignment="1" applyProtection="1">
      <alignment horizontal="center" vertical="center" wrapText="1"/>
      <protection hidden="1"/>
    </xf>
    <xf numFmtId="0" fontId="13" fillId="11" borderId="5" xfId="0" applyFont="1" applyFill="1" applyBorder="1" applyAlignment="1" applyProtection="1">
      <alignment horizontal="center" vertical="center" wrapText="1"/>
      <protection hidden="1"/>
    </xf>
    <xf numFmtId="0" fontId="14" fillId="11" borderId="3" xfId="0" applyFont="1" applyFill="1" applyBorder="1" applyAlignment="1" applyProtection="1">
      <alignment horizontal="center" vertical="center" wrapText="1"/>
      <protection hidden="1"/>
    </xf>
    <xf numFmtId="0" fontId="14" fillId="11" borderId="4" xfId="0" applyFont="1" applyFill="1" applyBorder="1" applyAlignment="1" applyProtection="1">
      <alignment horizontal="center" vertical="center" wrapText="1"/>
      <protection hidden="1"/>
    </xf>
    <xf numFmtId="0" fontId="14" fillId="11" borderId="5" xfId="0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8" fillId="6" borderId="3" xfId="0" applyFont="1" applyFill="1" applyBorder="1" applyAlignment="1" applyProtection="1">
      <alignment horizontal="center" vertical="center"/>
      <protection locked="0"/>
    </xf>
    <xf numFmtId="0" fontId="8" fillId="6" borderId="4" xfId="0" applyFont="1" applyFill="1" applyBorder="1" applyAlignment="1" applyProtection="1">
      <alignment horizontal="center" vertical="center"/>
      <protection locked="0"/>
    </xf>
    <xf numFmtId="0" fontId="9" fillId="7" borderId="3" xfId="0" applyFont="1" applyFill="1" applyBorder="1" applyAlignment="1" applyProtection="1">
      <alignment horizontal="center" vertical="center"/>
      <protection hidden="1"/>
    </xf>
    <xf numFmtId="0" fontId="9" fillId="7" borderId="4" xfId="0" applyFont="1" applyFill="1" applyBorder="1" applyAlignment="1" applyProtection="1">
      <alignment horizontal="center" vertical="center"/>
      <protection hidden="1"/>
    </xf>
    <xf numFmtId="0" fontId="9" fillId="7" borderId="5" xfId="0" applyFont="1" applyFill="1" applyBorder="1" applyAlignment="1" applyProtection="1">
      <alignment horizontal="center" vertical="center"/>
      <protection hidden="1"/>
    </xf>
    <xf numFmtId="0" fontId="10" fillId="8" borderId="6" xfId="0" applyFont="1" applyFill="1" applyBorder="1" applyAlignment="1" applyProtection="1">
      <alignment horizontal="center" vertical="center"/>
      <protection hidden="1"/>
    </xf>
    <xf numFmtId="0" fontId="10" fillId="8" borderId="7" xfId="0" applyFont="1" applyFill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6">
    <dxf>
      <fill>
        <gradientFill degree="90">
          <stop position="0">
            <color rgb="FFFF00FF"/>
          </stop>
          <stop position="1">
            <color auto="1"/>
          </stop>
        </gradientFill>
      </fill>
    </dxf>
    <dxf>
      <fill>
        <patternFill patternType="solid">
          <fgColor auto="1"/>
          <bgColor theme="8" tint="0.59996337778862885"/>
        </patternFill>
      </fill>
    </dxf>
    <dxf>
      <fill>
        <gradientFill degree="90">
          <stop position="0">
            <color rgb="FFFF3399"/>
          </stop>
          <stop position="1">
            <color rgb="FFFF3399"/>
          </stop>
        </gradientFill>
      </fill>
    </dxf>
    <dxf>
      <fill>
        <patternFill>
          <bgColor theme="4" tint="0.59996337778862885"/>
        </patternFill>
      </fill>
    </dxf>
    <dxf>
      <fill>
        <patternFill>
          <bgColor theme="3" tint="0.7999816888943144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352424</xdr:colOff>
      <xdr:row>2</xdr:row>
      <xdr:rowOff>38099</xdr:rowOff>
    </xdr:from>
    <xdr:to>
      <xdr:col>14</xdr:col>
      <xdr:colOff>809625</xdr:colOff>
      <xdr:row>2</xdr:row>
      <xdr:rowOff>342901</xdr:rowOff>
    </xdr:to>
    <xdr:sp macro="" textlink="">
      <xdr:nvSpPr>
        <xdr:cNvPr id="2" name="Rounded Rectangle 8" hidden="1">
          <a:extLst>
            <a:ext uri="{FF2B5EF4-FFF2-40B4-BE49-F238E27FC236}">
              <a16:creationId xmlns:a16="http://schemas.microsoft.com/office/drawing/2014/main" id="{B944E37A-758D-4157-85F1-168D62C6A6CB}"/>
            </a:ext>
          </a:extLst>
        </xdr:cNvPr>
        <xdr:cNvSpPr/>
      </xdr:nvSpPr>
      <xdr:spPr>
        <a:xfrm>
          <a:off x="8639174" y="447674"/>
          <a:ext cx="1238251" cy="304802"/>
        </a:xfrm>
        <a:prstGeom prst="round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  <a:latin typeface="Arial Narrow" pitchFamily="34" charset="0"/>
            </a:rPr>
            <a:t>Generate</a:t>
          </a:r>
          <a:r>
            <a:rPr lang="en-US" sz="1100" b="1" baseline="0">
              <a:solidFill>
                <a:schemeClr val="bg1"/>
              </a:solidFill>
              <a:latin typeface="Arial Narrow" pitchFamily="34" charset="0"/>
            </a:rPr>
            <a:t>  Cotation</a:t>
          </a:r>
          <a:endParaRPr lang="en-US" sz="1100" b="1">
            <a:solidFill>
              <a:schemeClr val="bg1"/>
            </a:solidFill>
            <a:latin typeface="Arial Narrow" pitchFamily="34" charset="0"/>
          </a:endParaRPr>
        </a:p>
      </xdr:txBody>
    </xdr:sp>
    <xdr:clientData/>
  </xdr:twoCellAnchor>
  <xdr:twoCellAnchor>
    <xdr:from>
      <xdr:col>9</xdr:col>
      <xdr:colOff>180975</xdr:colOff>
      <xdr:row>2</xdr:row>
      <xdr:rowOff>28575</xdr:rowOff>
    </xdr:from>
    <xdr:to>
      <xdr:col>10</xdr:col>
      <xdr:colOff>800100</xdr:colOff>
      <xdr:row>2</xdr:row>
      <xdr:rowOff>323850</xdr:rowOff>
    </xdr:to>
    <xdr:sp macro="" textlink="">
      <xdr:nvSpPr>
        <xdr:cNvPr id="3" name="Rounded Rectangle 2" hidden="1">
          <a:extLst>
            <a:ext uri="{FF2B5EF4-FFF2-40B4-BE49-F238E27FC236}">
              <a16:creationId xmlns:a16="http://schemas.microsoft.com/office/drawing/2014/main" id="{FC246E7C-20D8-4D61-A4D2-FDB52407AFC0}"/>
            </a:ext>
          </a:extLst>
        </xdr:cNvPr>
        <xdr:cNvSpPr/>
      </xdr:nvSpPr>
      <xdr:spPr>
        <a:xfrm>
          <a:off x="6505575" y="438150"/>
          <a:ext cx="1057275" cy="295275"/>
        </a:xfrm>
        <a:prstGeom prst="roundRect">
          <a:avLst/>
        </a:prstGeom>
        <a:solidFill>
          <a:schemeClr val="accent2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Aharoni" pitchFamily="2" charset="-79"/>
              <a:cs typeface="Aharoni" pitchFamily="2" charset="-79"/>
            </a:rPr>
            <a:t>Export PDF</a:t>
          </a:r>
        </a:p>
      </xdr:txBody>
    </xdr:sp>
    <xdr:clientData/>
  </xdr:twoCellAnchor>
  <xdr:twoCellAnchor>
    <xdr:from>
      <xdr:col>10</xdr:col>
      <xdr:colOff>914401</xdr:colOff>
      <xdr:row>2</xdr:row>
      <xdr:rowOff>38100</xdr:rowOff>
    </xdr:from>
    <xdr:to>
      <xdr:col>12</xdr:col>
      <xdr:colOff>209551</xdr:colOff>
      <xdr:row>2</xdr:row>
      <xdr:rowOff>333375</xdr:rowOff>
    </xdr:to>
    <xdr:sp macro="" textlink="">
      <xdr:nvSpPr>
        <xdr:cNvPr id="4" name="Rounded Rectangle 3" hidden="1">
          <a:extLst>
            <a:ext uri="{FF2B5EF4-FFF2-40B4-BE49-F238E27FC236}">
              <a16:creationId xmlns:a16="http://schemas.microsoft.com/office/drawing/2014/main" id="{CC135B7E-147E-4C15-BE30-C83058C01254}"/>
            </a:ext>
          </a:extLst>
        </xdr:cNvPr>
        <xdr:cNvSpPr/>
      </xdr:nvSpPr>
      <xdr:spPr>
        <a:xfrm>
          <a:off x="7677151" y="447675"/>
          <a:ext cx="819150" cy="295275"/>
        </a:xfrm>
        <a:prstGeom prst="roundRect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Aharoni" pitchFamily="2" charset="-79"/>
              <a:cs typeface="Aharoni" pitchFamily="2" charset="-79"/>
            </a:rPr>
            <a:t>Print out</a:t>
          </a:r>
        </a:p>
      </xdr:txBody>
    </xdr:sp>
    <xdr:clientData/>
  </xdr:twoCellAnchor>
  <xdr:twoCellAnchor>
    <xdr:from>
      <xdr:col>4</xdr:col>
      <xdr:colOff>190501</xdr:colOff>
      <xdr:row>2</xdr:row>
      <xdr:rowOff>28575</xdr:rowOff>
    </xdr:from>
    <xdr:to>
      <xdr:col>9</xdr:col>
      <xdr:colOff>38101</xdr:colOff>
      <xdr:row>2</xdr:row>
      <xdr:rowOff>323850</xdr:rowOff>
    </xdr:to>
    <xdr:sp macro="" textlink="">
      <xdr:nvSpPr>
        <xdr:cNvPr id="5" name="Rounded Rectangle 4" hidden="1">
          <a:extLst>
            <a:ext uri="{FF2B5EF4-FFF2-40B4-BE49-F238E27FC236}">
              <a16:creationId xmlns:a16="http://schemas.microsoft.com/office/drawing/2014/main" id="{FF79CE31-B787-45D1-A426-4D23C4308315}"/>
            </a:ext>
          </a:extLst>
        </xdr:cNvPr>
        <xdr:cNvSpPr/>
      </xdr:nvSpPr>
      <xdr:spPr>
        <a:xfrm>
          <a:off x="4514851" y="438150"/>
          <a:ext cx="1847850" cy="295275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Book Antiqua" pitchFamily="18" charset="0"/>
            </a:rPr>
            <a:t>Generate Excel Template</a:t>
          </a:r>
        </a:p>
      </xdr:txBody>
    </xdr:sp>
    <xdr:clientData/>
  </xdr:twoCellAnchor>
  <xdr:twoCellAnchor>
    <xdr:from>
      <xdr:col>3</xdr:col>
      <xdr:colOff>264320</xdr:colOff>
      <xdr:row>2</xdr:row>
      <xdr:rowOff>63612</xdr:rowOff>
    </xdr:from>
    <xdr:to>
      <xdr:col>3</xdr:col>
      <xdr:colOff>1514476</xdr:colOff>
      <xdr:row>2</xdr:row>
      <xdr:rowOff>323850</xdr:rowOff>
    </xdr:to>
    <xdr:sp macro="" textlink="">
      <xdr:nvSpPr>
        <xdr:cNvPr id="6" name="Rounded Rectangle 5" hidden="1">
          <a:extLst>
            <a:ext uri="{FF2B5EF4-FFF2-40B4-BE49-F238E27FC236}">
              <a16:creationId xmlns:a16="http://schemas.microsoft.com/office/drawing/2014/main" id="{3C1601C9-F977-42CA-B1B9-D0D4A72841D8}"/>
            </a:ext>
          </a:extLst>
        </xdr:cNvPr>
        <xdr:cNvSpPr/>
      </xdr:nvSpPr>
      <xdr:spPr>
        <a:xfrm>
          <a:off x="2169320" y="473187"/>
          <a:ext cx="1250156" cy="260238"/>
        </a:xfrm>
        <a:prstGeom prst="roundRect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chemeClr val="bg1"/>
              </a:solidFill>
              <a:latin typeface="Arial Rounded MT Bold" panose="020F0704030504030204" pitchFamily="34" charset="0"/>
            </a:rPr>
            <a:t>Refresh Data</a:t>
          </a:r>
        </a:p>
      </xdr:txBody>
    </xdr:sp>
    <xdr:clientData/>
  </xdr:twoCellAnchor>
  <xdr:twoCellAnchor>
    <xdr:from>
      <xdr:col>1</xdr:col>
      <xdr:colOff>47625</xdr:colOff>
      <xdr:row>2</xdr:row>
      <xdr:rowOff>57150</xdr:rowOff>
    </xdr:from>
    <xdr:to>
      <xdr:col>3</xdr:col>
      <xdr:colOff>152400</xdr:colOff>
      <xdr:row>2</xdr:row>
      <xdr:rowOff>314325</xdr:rowOff>
    </xdr:to>
    <xdr:sp macro="" textlink="">
      <xdr:nvSpPr>
        <xdr:cNvPr id="7" name="Rounded Rectangle 6" hidden="1">
          <a:extLst>
            <a:ext uri="{FF2B5EF4-FFF2-40B4-BE49-F238E27FC236}">
              <a16:creationId xmlns:a16="http://schemas.microsoft.com/office/drawing/2014/main" id="{218DF785-72A8-4BE3-B571-DC30EF527EDE}"/>
            </a:ext>
          </a:extLst>
        </xdr:cNvPr>
        <xdr:cNvSpPr/>
      </xdr:nvSpPr>
      <xdr:spPr>
        <a:xfrm>
          <a:off x="561975" y="466725"/>
          <a:ext cx="1495425" cy="257175"/>
        </a:xfrm>
        <a:prstGeom prst="roundRect">
          <a:avLst/>
        </a:prstGeom>
        <a:solidFill>
          <a:srgbClr val="CC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Arial Narrow" panose="020B0606020202030204" pitchFamily="34" charset="0"/>
            </a:rPr>
            <a:t>Blouse Trainees Data</a:t>
          </a:r>
        </a:p>
      </xdr:txBody>
    </xdr:sp>
    <xdr:clientData/>
  </xdr:twoCellAnchor>
  <xdr:twoCellAnchor editAs="oneCell">
    <xdr:from>
      <xdr:col>3</xdr:col>
      <xdr:colOff>933450</xdr:colOff>
      <xdr:row>3</xdr:row>
      <xdr:rowOff>47626</xdr:rowOff>
    </xdr:from>
    <xdr:to>
      <xdr:col>10</xdr:col>
      <xdr:colOff>552450</xdr:colOff>
      <xdr:row>7</xdr:row>
      <xdr:rowOff>171450</xdr:rowOff>
    </xdr:to>
    <xdr:pic>
      <xdr:nvPicPr>
        <xdr:cNvPr id="8" name="Picture 7" descr="C:\Users\DOS\Desktop\ETEFOP COMB LOGO.JPG">
          <a:extLst>
            <a:ext uri="{FF2B5EF4-FFF2-40B4-BE49-F238E27FC236}">
              <a16:creationId xmlns:a16="http://schemas.microsoft.com/office/drawing/2014/main" id="{F1010E61-C1FB-41FA-A264-65DF15F1BF1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8450" y="885826"/>
          <a:ext cx="4476750" cy="885824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466725</xdr:colOff>
      <xdr:row>0</xdr:row>
      <xdr:rowOff>85724</xdr:rowOff>
    </xdr:from>
    <xdr:to>
      <xdr:col>3</xdr:col>
      <xdr:colOff>209550</xdr:colOff>
      <xdr:row>1</xdr:row>
      <xdr:rowOff>209551</xdr:rowOff>
    </xdr:to>
    <xdr:sp macro="" textlink="">
      <xdr:nvSpPr>
        <xdr:cNvPr id="9" name="Rounded Rectangle 1" hidden="1">
          <a:extLst>
            <a:ext uri="{FF2B5EF4-FFF2-40B4-BE49-F238E27FC236}">
              <a16:creationId xmlns:a16="http://schemas.microsoft.com/office/drawing/2014/main" id="{8C914D93-AF9A-4E53-8D52-1F0F95F0FF90}"/>
            </a:ext>
          </a:extLst>
        </xdr:cNvPr>
        <xdr:cNvSpPr/>
      </xdr:nvSpPr>
      <xdr:spPr>
        <a:xfrm>
          <a:off x="466725" y="85724"/>
          <a:ext cx="1647825" cy="304802"/>
        </a:xfrm>
        <a:prstGeom prst="round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chemeClr val="bg1"/>
              </a:solidFill>
              <a:latin typeface="Arial Narrow" pitchFamily="34" charset="0"/>
            </a:rPr>
            <a:t>Insert </a:t>
          </a:r>
          <a:r>
            <a:rPr lang="en-US" sz="1100" b="1" baseline="0">
              <a:solidFill>
                <a:schemeClr val="bg1"/>
              </a:solidFill>
              <a:latin typeface="Arial Narrow" pitchFamily="34" charset="0"/>
            </a:rPr>
            <a:t> Assessment Marks</a:t>
          </a:r>
          <a:endParaRPr lang="en-US" sz="1100" b="1">
            <a:solidFill>
              <a:schemeClr val="bg1"/>
            </a:solidFill>
            <a:latin typeface="Arial Narrow" pitchFamily="34" charset="0"/>
          </a:endParaRPr>
        </a:p>
      </xdr:txBody>
    </xdr:sp>
    <xdr:clientData/>
  </xdr:twoCellAnchor>
  <xdr:twoCellAnchor>
    <xdr:from>
      <xdr:col>3</xdr:col>
      <xdr:colOff>219075</xdr:colOff>
      <xdr:row>0</xdr:row>
      <xdr:rowOff>104775</xdr:rowOff>
    </xdr:from>
    <xdr:to>
      <xdr:col>3</xdr:col>
      <xdr:colOff>2095500</xdr:colOff>
      <xdr:row>1</xdr:row>
      <xdr:rowOff>219075</xdr:rowOff>
    </xdr:to>
    <xdr:sp macro="" textlink="">
      <xdr:nvSpPr>
        <xdr:cNvPr id="10" name="Rounded Rectangle 7" hidden="1">
          <a:extLst>
            <a:ext uri="{FF2B5EF4-FFF2-40B4-BE49-F238E27FC236}">
              <a16:creationId xmlns:a16="http://schemas.microsoft.com/office/drawing/2014/main" id="{A5FCF9FA-3B3C-45FA-9A4D-2BAE1F078991}"/>
            </a:ext>
          </a:extLst>
        </xdr:cNvPr>
        <xdr:cNvSpPr/>
      </xdr:nvSpPr>
      <xdr:spPr>
        <a:xfrm>
          <a:off x="2124075" y="104775"/>
          <a:ext cx="1876425" cy="295275"/>
        </a:xfrm>
        <a:prstGeom prst="roundRect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atin typeface="Book Antiqua" pitchFamily="18" charset="0"/>
            </a:rPr>
            <a:t>Generate Current cotation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76"/>
  <sheetViews>
    <sheetView showGridLines="0" tabSelected="1" topLeftCell="A11" workbookViewId="0">
      <selection activeCell="L65" sqref="L65"/>
    </sheetView>
  </sheetViews>
  <sheetFormatPr defaultRowHeight="15" x14ac:dyDescent="0.25"/>
  <cols>
    <col min="1" max="1" width="7.7109375" style="4" customWidth="1"/>
    <col min="2" max="2" width="5.42578125" style="10" customWidth="1"/>
    <col min="3" max="3" width="15.42578125" style="11" customWidth="1"/>
    <col min="4" max="4" width="36.28515625" style="4" customWidth="1"/>
    <col min="5" max="9" width="6" style="10" customWidth="1"/>
    <col min="10" max="10" width="6.5703125" style="10" customWidth="1"/>
    <col min="11" max="11" width="17" style="11" customWidth="1"/>
    <col min="12" max="14" width="5.85546875" style="10" customWidth="1"/>
    <col min="15" max="15" width="15.28515625" style="11" customWidth="1"/>
    <col min="16" max="16" width="10.28515625" style="4" hidden="1" customWidth="1"/>
    <col min="17" max="20" width="9.140625" style="4"/>
    <col min="21" max="53" width="0" style="4" hidden="1" customWidth="1"/>
    <col min="54" max="16384" width="9.140625" style="4"/>
  </cols>
  <sheetData>
    <row r="1" spans="1:20" x14ac:dyDescent="0.25">
      <c r="A1" s="1">
        <f>COUNTA(C19:C19966)+18</f>
        <v>79</v>
      </c>
      <c r="B1" s="2"/>
      <c r="C1" s="3"/>
      <c r="D1" s="3"/>
      <c r="E1" s="2"/>
      <c r="F1" s="2"/>
      <c r="G1" s="2"/>
      <c r="H1" s="2"/>
      <c r="I1" s="2"/>
      <c r="J1" s="2"/>
      <c r="K1" s="3"/>
      <c r="L1" s="2"/>
      <c r="M1" s="2"/>
      <c r="N1" s="2"/>
      <c r="O1" s="3"/>
      <c r="P1" s="3"/>
      <c r="Q1" s="3"/>
      <c r="R1" s="3"/>
      <c r="S1" s="3"/>
      <c r="T1" s="3"/>
    </row>
    <row r="2" spans="1:20" ht="18" customHeight="1" x14ac:dyDescent="0.25">
      <c r="A2" s="5"/>
      <c r="B2" s="2"/>
      <c r="C2" s="3"/>
      <c r="D2" s="3"/>
      <c r="E2" s="2"/>
      <c r="F2" s="2"/>
      <c r="G2" s="2"/>
      <c r="H2" s="2"/>
      <c r="I2" s="2"/>
      <c r="J2" s="2"/>
      <c r="K2" s="3"/>
      <c r="L2" s="2"/>
      <c r="M2" s="2"/>
      <c r="N2" s="2"/>
      <c r="O2" s="3"/>
      <c r="P2" s="3"/>
      <c r="Q2" s="3"/>
      <c r="R2" s="3"/>
      <c r="S2" s="3"/>
      <c r="T2" s="3"/>
    </row>
    <row r="3" spans="1:20" ht="33.75" customHeight="1" x14ac:dyDescent="0.25">
      <c r="A3" s="6"/>
      <c r="B3" s="7"/>
      <c r="C3" s="8"/>
      <c r="D3" s="8"/>
      <c r="E3" s="7"/>
      <c r="F3" s="7"/>
      <c r="G3" s="7"/>
      <c r="H3" s="7"/>
      <c r="I3" s="7"/>
      <c r="J3" s="7"/>
      <c r="K3" s="8"/>
      <c r="L3" s="7"/>
      <c r="M3" s="7"/>
      <c r="N3" s="7"/>
      <c r="O3" s="8"/>
      <c r="P3" s="8"/>
      <c r="Q3" s="8"/>
      <c r="R3" s="8"/>
      <c r="S3" s="8"/>
      <c r="T3" s="8"/>
    </row>
    <row r="4" spans="1:20" x14ac:dyDescent="0.25">
      <c r="A4" s="9"/>
      <c r="P4" s="9"/>
      <c r="Q4" s="9"/>
      <c r="R4" s="9"/>
      <c r="S4" s="9"/>
      <c r="T4" s="9"/>
    </row>
    <row r="5" spans="1:20" x14ac:dyDescent="0.25">
      <c r="A5" s="9"/>
      <c r="P5" s="9"/>
      <c r="Q5" s="9"/>
      <c r="R5" s="9"/>
      <c r="S5" s="9"/>
      <c r="T5" s="9"/>
    </row>
    <row r="6" spans="1:20" x14ac:dyDescent="0.25">
      <c r="A6" s="9"/>
      <c r="P6" s="9"/>
      <c r="Q6" s="9"/>
      <c r="R6" s="9"/>
      <c r="S6" s="9"/>
      <c r="T6" s="9"/>
    </row>
    <row r="7" spans="1:20" x14ac:dyDescent="0.25">
      <c r="A7" s="9"/>
      <c r="P7" s="9"/>
      <c r="Q7" s="9"/>
      <c r="R7" s="9"/>
      <c r="S7" s="9"/>
      <c r="T7" s="9"/>
    </row>
    <row r="8" spans="1:20" x14ac:dyDescent="0.25">
      <c r="A8" s="9"/>
      <c r="D8" s="12"/>
      <c r="P8" s="9"/>
      <c r="Q8" s="9"/>
      <c r="R8" s="9"/>
      <c r="S8" s="9"/>
      <c r="T8" s="9"/>
    </row>
    <row r="9" spans="1:20" ht="18" customHeight="1" x14ac:dyDescent="0.25">
      <c r="A9" s="9"/>
      <c r="B9" s="13" t="s">
        <v>0</v>
      </c>
      <c r="C9" s="14"/>
      <c r="P9" s="9"/>
      <c r="Q9" s="9"/>
      <c r="R9" s="9"/>
      <c r="S9" s="9"/>
      <c r="T9" s="9"/>
    </row>
    <row r="10" spans="1:20" ht="18" customHeight="1" x14ac:dyDescent="0.25">
      <c r="A10" s="9"/>
      <c r="B10" s="15" t="s">
        <v>1</v>
      </c>
      <c r="C10" s="14"/>
      <c r="D10" s="55" t="s">
        <v>157</v>
      </c>
      <c r="E10" s="55"/>
      <c r="F10" s="55"/>
      <c r="G10" s="55"/>
      <c r="H10" s="55"/>
      <c r="I10" s="55"/>
      <c r="J10" s="55"/>
      <c r="K10" s="55"/>
      <c r="P10" s="9"/>
      <c r="Q10" s="9"/>
      <c r="R10" s="9"/>
      <c r="S10" s="9"/>
      <c r="T10" s="9"/>
    </row>
    <row r="11" spans="1:20" ht="18" customHeight="1" x14ac:dyDescent="0.25">
      <c r="A11" s="9"/>
      <c r="B11" s="56" t="s">
        <v>2</v>
      </c>
      <c r="C11" s="56"/>
      <c r="D11" s="16" t="s">
        <v>3</v>
      </c>
      <c r="P11" s="9"/>
      <c r="Q11" s="9"/>
      <c r="R11" s="9"/>
      <c r="S11" s="9"/>
      <c r="T11" s="9"/>
    </row>
    <row r="12" spans="1:20" ht="13.5" customHeight="1" x14ac:dyDescent="0.25">
      <c r="A12" s="9"/>
      <c r="J12" s="10" t="str">
        <f>IFERROR(IF(OR(E12&gt;$E$18,F12&gt;$F$18,G12&gt;$G$18,H12&gt;$H$18,I12&gt;$I$18),"-",IF(OR($H$15="",$O$16="",$K$17="",$O$15=""),"",IF(OR(SUM(E$18:I$108)&lt;=0,$D12=""),"",IF(AND(SUM(E$18:G$18)&gt;0,H$18&gt;0,I$18&gt;0),((SUM(E12:G12)*K$17/SUM(E$18:G$18))+(H12*K$17/H$18)+(I12*K$17/I$18))/3,IF(AND(SUM(E$18:G$18)&gt;0,H$18&gt;0),((SUM(E12:G12)*K$17/SUM(E$18:G$18))+(H12*K$17/H$18))/2,IF(AND(SUM(E$18:G$18)&gt;0,I$18&gt;0),((SUM(E12:G12)*K$17/SUM(E$18:G$18))+(I12*K$17/I$18))/2,IF(AND(H$18&gt;0,I$18&gt;0),((H12*K$17/H$18)+(I12*K$17/I$18))/2,IF(SUM(E$18:G$18)&gt;0,SUM(E12:G12)*K$17/SUM(E$18:G$18),IF(H$18&gt;0,H12*K$17/H$18,IF(I$18&gt;0,I12*K$17/I$18,"-")))))))))),"-")</f>
        <v/>
      </c>
      <c r="K12" s="11" t="str">
        <f>IF($O$15="","",IF(ISTEXT(J12),"",IF(J12&gt;=$K$17*$P$15,"Competent","Not yet Competent")))</f>
        <v/>
      </c>
      <c r="O12" s="11" t="str">
        <f>IFERROR(IF(AND(ISNUMBER(J12),J12&gt;=$K$17*$P$15)," ",IF(AND(J12&gt;0,$O$16&lt;&gt;"Not yet Taught",$D12&lt;&gt;"",J12="-"),"Not yet Assessed",IF(AND($O$16="Completed",$D12&lt;&gt;"",$L$18&gt;0,L12&gt;0,L12&gt;=$L$18*$P$15),"Competent",IF(AND($O$16="Completed",$M$18&gt;0,$D12&lt;&gt;"",M12&gt;0,M12&gt;=$M$18*$P$15),"Competent",IF(AND($O$16="Completed",$N$18&gt;0,$D12&lt;&gt;"",N12&gt;0,N12&gt;=$N$18*$P$15),"Competent",IF(AND($O$16="Completed",$D12&lt;&gt;"",L12&lt;$N$18*$P$15),"Re-Assessment",IF(AND($O$16="Completed",SUM($N$18:$N$18)&lt;=0,$D12&lt;&gt;"",L12&lt;=0,M12&lt;=0,N12&lt;=0),"Re-Assessment",IF(AND(J12&gt;0,$D12&lt;&gt;"",$O$16="Ongoing"),"Ongoing","")))))))),"")</f>
        <v/>
      </c>
      <c r="P12" s="9"/>
      <c r="Q12" s="9"/>
      <c r="R12" s="9"/>
      <c r="S12" s="9"/>
      <c r="T12" s="9"/>
    </row>
    <row r="13" spans="1:20" ht="18" customHeight="1" x14ac:dyDescent="0.25">
      <c r="A13" s="9"/>
      <c r="B13" s="57" t="s">
        <v>4</v>
      </c>
      <c r="C13" s="58"/>
      <c r="D13" s="58"/>
      <c r="E13" s="59" t="s">
        <v>5</v>
      </c>
      <c r="F13" s="60"/>
      <c r="G13" s="60"/>
      <c r="H13" s="60"/>
      <c r="I13" s="60"/>
      <c r="J13" s="60"/>
      <c r="K13" s="60"/>
      <c r="L13" s="60"/>
      <c r="M13" s="60"/>
      <c r="N13" s="60"/>
      <c r="O13" s="17"/>
      <c r="P13" s="9"/>
      <c r="Q13" s="9"/>
      <c r="R13" s="9"/>
      <c r="S13" s="9"/>
      <c r="T13" s="9"/>
    </row>
    <row r="14" spans="1:20" ht="18" customHeight="1" x14ac:dyDescent="0.25">
      <c r="A14" s="9"/>
      <c r="B14" s="61" t="s">
        <v>6</v>
      </c>
      <c r="C14" s="62"/>
      <c r="D14" s="63"/>
      <c r="E14" s="64" t="s">
        <v>7</v>
      </c>
      <c r="F14" s="64"/>
      <c r="G14" s="64"/>
      <c r="H14" s="65" t="s">
        <v>8</v>
      </c>
      <c r="I14" s="65"/>
      <c r="J14" s="65"/>
      <c r="K14" s="65"/>
      <c r="L14" s="65"/>
      <c r="M14" s="65"/>
      <c r="N14" s="65"/>
      <c r="O14" s="18" t="s">
        <v>9</v>
      </c>
      <c r="P14" s="9"/>
      <c r="Q14" s="9"/>
      <c r="R14" s="9"/>
      <c r="S14" s="9"/>
      <c r="T14" s="9"/>
    </row>
    <row r="15" spans="1:20" ht="18" customHeight="1" x14ac:dyDescent="0.25">
      <c r="A15" s="9"/>
      <c r="B15" s="40" t="s">
        <v>10</v>
      </c>
      <c r="C15" s="40"/>
      <c r="D15" s="40"/>
      <c r="E15" s="41" t="s">
        <v>159</v>
      </c>
      <c r="F15" s="42"/>
      <c r="G15" s="43"/>
      <c r="H15" s="41" t="s">
        <v>158</v>
      </c>
      <c r="I15" s="42"/>
      <c r="J15" s="42"/>
      <c r="K15" s="42"/>
      <c r="L15" s="42"/>
      <c r="M15" s="42"/>
      <c r="N15" s="43"/>
      <c r="O15" s="19" t="s">
        <v>155</v>
      </c>
      <c r="P15" s="9" t="str">
        <f>IF(O15="SM","0.7",IF(O15="GM","0.5",IF(O15="CM","0.5","")))</f>
        <v>0.7</v>
      </c>
      <c r="Q15" s="9"/>
      <c r="R15" s="9"/>
      <c r="S15" s="9"/>
      <c r="T15" s="9"/>
    </row>
    <row r="16" spans="1:20" ht="15.75" customHeight="1" x14ac:dyDescent="0.25">
      <c r="A16" s="9"/>
      <c r="B16" s="44" t="s">
        <v>11</v>
      </c>
      <c r="C16" s="45" t="s">
        <v>12</v>
      </c>
      <c r="D16" s="48" t="s">
        <v>13</v>
      </c>
      <c r="E16" s="49" t="s">
        <v>14</v>
      </c>
      <c r="F16" s="50"/>
      <c r="G16" s="50"/>
      <c r="H16" s="50"/>
      <c r="I16" s="50"/>
      <c r="J16" s="51"/>
      <c r="K16" s="20" t="s">
        <v>15</v>
      </c>
      <c r="L16" s="52" t="s">
        <v>16</v>
      </c>
      <c r="M16" s="53"/>
      <c r="N16" s="54"/>
      <c r="O16" s="21" t="s">
        <v>156</v>
      </c>
      <c r="P16" s="9"/>
      <c r="Q16" s="9"/>
      <c r="R16" s="9"/>
      <c r="S16" s="9"/>
      <c r="T16" s="9"/>
    </row>
    <row r="17" spans="1:20" ht="15.75" customHeight="1" x14ac:dyDescent="0.25">
      <c r="A17" s="9"/>
      <c r="B17" s="44"/>
      <c r="C17" s="46"/>
      <c r="D17" s="48"/>
      <c r="E17" s="22" t="s">
        <v>17</v>
      </c>
      <c r="F17" s="23" t="s">
        <v>18</v>
      </c>
      <c r="G17" s="23" t="s">
        <v>19</v>
      </c>
      <c r="H17" s="22" t="s">
        <v>20</v>
      </c>
      <c r="I17" s="23" t="s">
        <v>21</v>
      </c>
      <c r="J17" s="23" t="s">
        <v>22</v>
      </c>
      <c r="K17" s="24" t="s">
        <v>23</v>
      </c>
      <c r="L17" s="23">
        <v>1</v>
      </c>
      <c r="M17" s="23">
        <v>2</v>
      </c>
      <c r="N17" s="23">
        <v>3</v>
      </c>
      <c r="O17" s="23" t="str">
        <f>IF($K$17&gt;0,$K$17,"-")</f>
        <v>......</v>
      </c>
      <c r="P17" s="9"/>
      <c r="Q17" s="9"/>
      <c r="R17" s="9"/>
      <c r="S17" s="9"/>
      <c r="T17" s="9"/>
    </row>
    <row r="18" spans="1:20" ht="16.5" customHeight="1" x14ac:dyDescent="0.25">
      <c r="A18" s="9"/>
      <c r="B18" s="44"/>
      <c r="C18" s="47"/>
      <c r="D18" s="48"/>
      <c r="E18" s="25"/>
      <c r="F18" s="25"/>
      <c r="G18" s="25"/>
      <c r="H18" s="25"/>
      <c r="I18" s="25"/>
      <c r="J18" s="26" t="e">
        <v>#N/A</v>
      </c>
      <c r="K18" s="27" t="s">
        <v>24</v>
      </c>
      <c r="L18" s="25"/>
      <c r="M18" s="25"/>
      <c r="N18" s="25"/>
      <c r="O18" s="27" t="s">
        <v>24</v>
      </c>
      <c r="P18" s="9"/>
      <c r="Q18" s="9"/>
      <c r="R18" s="9"/>
      <c r="S18" s="9"/>
      <c r="T18" s="9"/>
    </row>
    <row r="19" spans="1:20" ht="13.5" customHeight="1" x14ac:dyDescent="0.25">
      <c r="A19" s="9"/>
      <c r="B19" s="28">
        <v>1</v>
      </c>
      <c r="C19" s="29" t="s">
        <v>25</v>
      </c>
      <c r="D19" s="30" t="s">
        <v>26</v>
      </c>
      <c r="E19" s="31"/>
      <c r="F19" s="31"/>
      <c r="G19" s="31"/>
      <c r="H19" s="31"/>
      <c r="I19" s="31"/>
      <c r="J19" s="32" t="str">
        <f t="shared" ref="J19:J79" si="0">IFERROR(IF(OR(E19&gt;$E$18,F19&gt;$F$18,G19&gt;$G$18,H19&gt;$H$18,I19&gt;$I$18),"-",IF(OR($H$15="",$O$16="",$K$17="",$O$15=""),"",IF(OR(SUM(E$18:I$108)&lt;=0,$D19=""),"",IF(AND(SUM(E$18:G$18)&gt;0,H$18&gt;0,I$18&gt;0),((SUM(E19:G19)*K$17/SUM(E$18:G$18))+(H19*K$17/H$18)+(I19*K$17/I$18))/3,IF(AND(SUM(E$18:G$18)&gt;0,H$18&gt;0),((SUM(E19:G19)*K$17/SUM(E$18:G$18))+(H19*K$17/H$18))/2,IF(AND(SUM(E$18:G$18)&gt;0,I$18&gt;0),((SUM(E19:G19)*K$17/SUM(E$18:G$18))+(I19*K$17/I$18))/2,IF(AND(H$18&gt;0,I$18&gt;0),((H19*K$17/H$18)+(I19*K$17/I$18))/2,IF(SUM(E$18:G$18)&gt;0,SUM(E19:G19)*K$17/SUM(E$18:G$18),IF(H$18&gt;0,H19*K$17/H$18,IF(I$18&gt;0,I19*K$17/I$18,"-")))))))))),"-")</f>
        <v/>
      </c>
      <c r="K19" s="33" t="str">
        <f t="shared" ref="K19:K79" si="1">IF($O$15="","",IF(ISTEXT(J19),"",IF(J19&gt;=$K$17*$P$15,"Competent","Not yet Competent")))</f>
        <v/>
      </c>
      <c r="L19" s="34">
        <v>19</v>
      </c>
      <c r="M19" s="34"/>
      <c r="N19" s="34"/>
      <c r="O19" s="33" t="str">
        <f t="shared" ref="O19:O79" si="2">IFERROR(IF(AND(ISNUMBER(J19),J19&gt;=$K$17*$P$15)," ",IF(AND(J19&gt;0,$O$16&lt;&gt;"Not yet Taught",$D19&lt;&gt;"",J19="-"),"Not yet Assessed",IF(AND($O$16="Completed",$D19&lt;&gt;"",$L$18&gt;0,L19&gt;0,L19&gt;=$L$18*$P$15),"Competent",IF(AND($O$16="Completed",$M$18&gt;0,$D19&lt;&gt;"",M19&gt;0,M19&gt;=$M$18*$P$15),"Competent",IF(AND($O$16="Completed",$N$18&gt;0,$D19&lt;&gt;"",N19&gt;0,N19&gt;=$N$18*$P$15),"Competent",IF(AND($O$16="Completed",$D19&lt;&gt;"",L19&lt;$N$18*$P$15),"Re-Assessment",IF(AND($O$16="Completed",SUM($N$18:$N$18)&lt;=0,$D19&lt;&gt;"",L19&lt;=0,M19&lt;=0,N19&lt;=0),"Re-Assessment",IF(AND(J19&gt;0,$D19&lt;&gt;"",$O$16="Ongoing"),"Ongoing","")))))))),"")</f>
        <v/>
      </c>
      <c r="P19" s="9"/>
      <c r="Q19" s="9"/>
      <c r="R19" s="9"/>
      <c r="S19" s="9"/>
      <c r="T19" s="9"/>
    </row>
    <row r="20" spans="1:20" ht="13.5" customHeight="1" x14ac:dyDescent="0.25">
      <c r="A20" s="9"/>
      <c r="B20" s="35">
        <v>2</v>
      </c>
      <c r="C20" s="29" t="s">
        <v>27</v>
      </c>
      <c r="D20" s="30" t="s">
        <v>28</v>
      </c>
      <c r="E20" s="34"/>
      <c r="F20" s="34"/>
      <c r="G20" s="34"/>
      <c r="H20" s="34"/>
      <c r="I20" s="34"/>
      <c r="J20" s="32" t="str">
        <f t="shared" si="0"/>
        <v/>
      </c>
      <c r="K20" s="33" t="str">
        <f t="shared" si="1"/>
        <v/>
      </c>
      <c r="L20" s="34"/>
      <c r="M20" s="34"/>
      <c r="N20" s="34"/>
      <c r="O20" s="33" t="str">
        <f t="shared" si="2"/>
        <v/>
      </c>
      <c r="P20" s="9"/>
      <c r="Q20" s="9"/>
      <c r="R20" s="9"/>
      <c r="S20" s="9"/>
      <c r="T20" s="9"/>
    </row>
    <row r="21" spans="1:20" ht="13.5" customHeight="1" x14ac:dyDescent="0.25">
      <c r="A21" s="9"/>
      <c r="B21" s="28">
        <v>3</v>
      </c>
      <c r="C21" s="29" t="s">
        <v>29</v>
      </c>
      <c r="D21" s="30" t="s">
        <v>30</v>
      </c>
      <c r="E21" s="34"/>
      <c r="F21" s="34"/>
      <c r="G21" s="34"/>
      <c r="H21" s="34"/>
      <c r="I21" s="34"/>
      <c r="J21" s="32" t="str">
        <f t="shared" si="0"/>
        <v/>
      </c>
      <c r="K21" s="33" t="str">
        <f t="shared" si="1"/>
        <v/>
      </c>
      <c r="L21" s="34"/>
      <c r="M21" s="34"/>
      <c r="N21" s="34"/>
      <c r="O21" s="33" t="str">
        <f t="shared" si="2"/>
        <v/>
      </c>
      <c r="P21" s="9"/>
      <c r="Q21" s="9"/>
      <c r="R21" s="9"/>
      <c r="S21" s="9"/>
      <c r="T21" s="9"/>
    </row>
    <row r="22" spans="1:20" ht="13.5" customHeight="1" x14ac:dyDescent="0.25">
      <c r="A22" s="9"/>
      <c r="B22" s="28">
        <v>4</v>
      </c>
      <c r="C22" s="29" t="s">
        <v>31</v>
      </c>
      <c r="D22" s="30" t="s">
        <v>32</v>
      </c>
      <c r="E22" s="34"/>
      <c r="F22" s="34"/>
      <c r="G22" s="34"/>
      <c r="H22" s="34"/>
      <c r="I22" s="34"/>
      <c r="J22" s="32" t="str">
        <f t="shared" si="0"/>
        <v/>
      </c>
      <c r="K22" s="33" t="str">
        <f t="shared" si="1"/>
        <v/>
      </c>
      <c r="L22" s="34"/>
      <c r="M22" s="34"/>
      <c r="N22" s="34"/>
      <c r="O22" s="33" t="str">
        <f t="shared" si="2"/>
        <v/>
      </c>
      <c r="P22" s="9"/>
      <c r="Q22" s="9"/>
      <c r="R22" s="9"/>
      <c r="S22" s="9"/>
      <c r="T22" s="9"/>
    </row>
    <row r="23" spans="1:20" ht="13.5" customHeight="1" x14ac:dyDescent="0.25">
      <c r="A23" s="9"/>
      <c r="B23" s="28">
        <v>5</v>
      </c>
      <c r="C23" s="29" t="s">
        <v>33</v>
      </c>
      <c r="D23" s="30" t="s">
        <v>34</v>
      </c>
      <c r="E23" s="31"/>
      <c r="F23" s="31"/>
      <c r="G23" s="31"/>
      <c r="H23" s="31"/>
      <c r="I23" s="31"/>
      <c r="J23" s="32" t="str">
        <f t="shared" si="0"/>
        <v/>
      </c>
      <c r="K23" s="33" t="str">
        <f t="shared" si="1"/>
        <v/>
      </c>
      <c r="L23" s="34"/>
      <c r="M23" s="34"/>
      <c r="N23" s="34"/>
      <c r="O23" s="33" t="str">
        <f t="shared" si="2"/>
        <v/>
      </c>
      <c r="P23" s="9"/>
      <c r="Q23" s="9"/>
      <c r="R23" s="9"/>
      <c r="S23" s="9"/>
      <c r="T23" s="9"/>
    </row>
    <row r="24" spans="1:20" ht="13.5" customHeight="1" x14ac:dyDescent="0.25">
      <c r="A24" s="9"/>
      <c r="B24" s="28">
        <v>6</v>
      </c>
      <c r="C24" s="29" t="s">
        <v>35</v>
      </c>
      <c r="D24" s="30" t="s">
        <v>36</v>
      </c>
      <c r="E24" s="34"/>
      <c r="F24" s="34"/>
      <c r="G24" s="34"/>
      <c r="H24" s="34"/>
      <c r="I24" s="34"/>
      <c r="J24" s="32" t="str">
        <f t="shared" si="0"/>
        <v/>
      </c>
      <c r="K24" s="33" t="str">
        <f t="shared" si="1"/>
        <v/>
      </c>
      <c r="L24" s="34"/>
      <c r="M24" s="34"/>
      <c r="N24" s="34"/>
      <c r="O24" s="33" t="str">
        <f t="shared" si="2"/>
        <v/>
      </c>
      <c r="P24" s="9"/>
      <c r="Q24" s="9"/>
      <c r="R24" s="9"/>
      <c r="S24" s="9"/>
      <c r="T24" s="9"/>
    </row>
    <row r="25" spans="1:20" ht="13.5" customHeight="1" x14ac:dyDescent="0.25">
      <c r="A25" s="9"/>
      <c r="B25" s="28">
        <v>7</v>
      </c>
      <c r="C25" s="29" t="s">
        <v>37</v>
      </c>
      <c r="D25" s="36" t="s">
        <v>38</v>
      </c>
      <c r="E25" s="37"/>
      <c r="F25" s="37"/>
      <c r="G25" s="37"/>
      <c r="H25" s="37"/>
      <c r="I25" s="37"/>
      <c r="J25" s="32" t="str">
        <f t="shared" si="0"/>
        <v/>
      </c>
      <c r="K25" s="33" t="str">
        <f t="shared" si="1"/>
        <v/>
      </c>
      <c r="L25" s="34"/>
      <c r="M25" s="34"/>
      <c r="N25" s="34"/>
      <c r="O25" s="33" t="str">
        <f t="shared" si="2"/>
        <v/>
      </c>
      <c r="P25" s="9"/>
      <c r="Q25" s="9"/>
      <c r="R25" s="9"/>
      <c r="S25" s="9"/>
      <c r="T25" s="9"/>
    </row>
    <row r="26" spans="1:20" ht="13.5" customHeight="1" x14ac:dyDescent="0.25">
      <c r="A26" s="9"/>
      <c r="B26" s="35">
        <v>8</v>
      </c>
      <c r="C26" s="29" t="s">
        <v>39</v>
      </c>
      <c r="D26" s="30" t="s">
        <v>40</v>
      </c>
      <c r="E26" s="34"/>
      <c r="F26" s="34"/>
      <c r="G26" s="34"/>
      <c r="H26" s="34"/>
      <c r="I26" s="34"/>
      <c r="J26" s="32" t="str">
        <f t="shared" si="0"/>
        <v/>
      </c>
      <c r="K26" s="33" t="str">
        <f t="shared" si="1"/>
        <v/>
      </c>
      <c r="L26" s="34"/>
      <c r="M26" s="34"/>
      <c r="N26" s="34"/>
      <c r="O26" s="33" t="str">
        <f t="shared" si="2"/>
        <v/>
      </c>
      <c r="P26" s="9"/>
      <c r="Q26" s="9"/>
      <c r="R26" s="9"/>
      <c r="S26" s="9"/>
      <c r="T26" s="9"/>
    </row>
    <row r="27" spans="1:20" ht="13.5" customHeight="1" x14ac:dyDescent="0.25">
      <c r="A27" s="9"/>
      <c r="B27" s="35">
        <v>9</v>
      </c>
      <c r="C27" s="29" t="s">
        <v>41</v>
      </c>
      <c r="D27" s="30" t="s">
        <v>42</v>
      </c>
      <c r="E27" s="34"/>
      <c r="F27" s="34"/>
      <c r="G27" s="34"/>
      <c r="H27" s="34"/>
      <c r="I27" s="34"/>
      <c r="J27" s="32" t="str">
        <f t="shared" si="0"/>
        <v/>
      </c>
      <c r="K27" s="33" t="str">
        <f t="shared" si="1"/>
        <v/>
      </c>
      <c r="L27" s="34"/>
      <c r="M27" s="34"/>
      <c r="N27" s="34"/>
      <c r="O27" s="33" t="str">
        <f t="shared" si="2"/>
        <v/>
      </c>
      <c r="P27" s="9"/>
      <c r="Q27" s="9"/>
      <c r="R27" s="9"/>
      <c r="S27" s="9"/>
      <c r="T27" s="9"/>
    </row>
    <row r="28" spans="1:20" ht="13.5" customHeight="1" x14ac:dyDescent="0.25">
      <c r="A28" s="9"/>
      <c r="B28" s="35">
        <v>10</v>
      </c>
      <c r="C28" s="29" t="s">
        <v>43</v>
      </c>
      <c r="D28" s="30" t="s">
        <v>44</v>
      </c>
      <c r="E28" s="34"/>
      <c r="F28" s="34"/>
      <c r="G28" s="34"/>
      <c r="H28" s="34"/>
      <c r="I28" s="34"/>
      <c r="J28" s="32" t="str">
        <f t="shared" si="0"/>
        <v/>
      </c>
      <c r="K28" s="33" t="str">
        <f t="shared" si="1"/>
        <v/>
      </c>
      <c r="L28" s="34">
        <v>12</v>
      </c>
      <c r="M28" s="34"/>
      <c r="N28" s="34"/>
      <c r="O28" s="33" t="str">
        <f t="shared" si="2"/>
        <v/>
      </c>
      <c r="P28" s="9"/>
      <c r="Q28" s="9"/>
      <c r="R28" s="9"/>
      <c r="S28" s="9"/>
      <c r="T28" s="9"/>
    </row>
    <row r="29" spans="1:20" ht="13.5" customHeight="1" x14ac:dyDescent="0.25">
      <c r="A29" s="9"/>
      <c r="B29" s="35">
        <v>11</v>
      </c>
      <c r="C29" s="29" t="s">
        <v>45</v>
      </c>
      <c r="D29" s="36" t="s">
        <v>46</v>
      </c>
      <c r="E29" s="37"/>
      <c r="F29" s="37"/>
      <c r="G29" s="37"/>
      <c r="H29" s="37"/>
      <c r="I29" s="37"/>
      <c r="J29" s="32" t="str">
        <f t="shared" si="0"/>
        <v/>
      </c>
      <c r="K29" s="33" t="str">
        <f t="shared" si="1"/>
        <v/>
      </c>
      <c r="L29" s="34">
        <v>18</v>
      </c>
      <c r="M29" s="34"/>
      <c r="N29" s="34"/>
      <c r="O29" s="33" t="str">
        <f t="shared" si="2"/>
        <v/>
      </c>
      <c r="P29" s="9"/>
      <c r="Q29" s="9"/>
      <c r="R29" s="9"/>
      <c r="S29" s="9"/>
      <c r="T29" s="9"/>
    </row>
    <row r="30" spans="1:20" ht="13.5" customHeight="1" x14ac:dyDescent="0.25">
      <c r="A30" s="9"/>
      <c r="B30" s="28">
        <v>12</v>
      </c>
      <c r="C30" s="29" t="s">
        <v>47</v>
      </c>
      <c r="D30" s="38" t="s">
        <v>48</v>
      </c>
      <c r="E30" s="34"/>
      <c r="F30" s="34"/>
      <c r="G30" s="34"/>
      <c r="H30" s="34"/>
      <c r="I30" s="34"/>
      <c r="J30" s="32" t="str">
        <f t="shared" si="0"/>
        <v/>
      </c>
      <c r="K30" s="33" t="str">
        <f t="shared" si="1"/>
        <v/>
      </c>
      <c r="L30" s="34">
        <v>15</v>
      </c>
      <c r="M30" s="34"/>
      <c r="N30" s="34"/>
      <c r="O30" s="33" t="str">
        <f t="shared" si="2"/>
        <v/>
      </c>
      <c r="P30" s="9"/>
      <c r="Q30" s="9"/>
      <c r="R30" s="9"/>
      <c r="S30" s="9"/>
      <c r="T30" s="9"/>
    </row>
    <row r="31" spans="1:20" ht="13.5" customHeight="1" x14ac:dyDescent="0.25">
      <c r="A31" s="9"/>
      <c r="B31" s="28">
        <v>13</v>
      </c>
      <c r="C31" s="29" t="s">
        <v>49</v>
      </c>
      <c r="D31" s="30" t="s">
        <v>50</v>
      </c>
      <c r="E31" s="31"/>
      <c r="F31" s="31"/>
      <c r="G31" s="31"/>
      <c r="H31" s="31"/>
      <c r="I31" s="31"/>
      <c r="J31" s="32" t="str">
        <f t="shared" si="0"/>
        <v/>
      </c>
      <c r="K31" s="33" t="str">
        <f t="shared" si="1"/>
        <v/>
      </c>
      <c r="L31" s="34"/>
      <c r="M31" s="34"/>
      <c r="N31" s="34"/>
      <c r="O31" s="33" t="str">
        <f t="shared" si="2"/>
        <v/>
      </c>
      <c r="P31" s="9"/>
      <c r="Q31" s="9"/>
      <c r="R31" s="9"/>
      <c r="S31" s="9"/>
      <c r="T31" s="9"/>
    </row>
    <row r="32" spans="1:20" ht="13.5" customHeight="1" x14ac:dyDescent="0.25">
      <c r="A32" s="9"/>
      <c r="B32" s="28">
        <v>14</v>
      </c>
      <c r="C32" s="29" t="s">
        <v>51</v>
      </c>
      <c r="D32" s="30" t="s">
        <v>52</v>
      </c>
      <c r="E32" s="31"/>
      <c r="F32" s="31"/>
      <c r="G32" s="31"/>
      <c r="H32" s="31"/>
      <c r="I32" s="31"/>
      <c r="J32" s="32" t="str">
        <f t="shared" si="0"/>
        <v/>
      </c>
      <c r="K32" s="33" t="str">
        <f t="shared" si="1"/>
        <v/>
      </c>
      <c r="L32" s="34"/>
      <c r="M32" s="34"/>
      <c r="N32" s="34"/>
      <c r="O32" s="33" t="str">
        <f t="shared" si="2"/>
        <v/>
      </c>
      <c r="P32" s="9"/>
      <c r="Q32" s="9"/>
      <c r="R32" s="9"/>
      <c r="S32" s="9"/>
      <c r="T32" s="9"/>
    </row>
    <row r="33" spans="1:20" ht="13.5" customHeight="1" x14ac:dyDescent="0.25">
      <c r="A33" s="9"/>
      <c r="B33" s="35">
        <v>15</v>
      </c>
      <c r="C33" s="29" t="s">
        <v>53</v>
      </c>
      <c r="D33" s="30" t="s">
        <v>54</v>
      </c>
      <c r="E33" s="34"/>
      <c r="F33" s="34"/>
      <c r="G33" s="34"/>
      <c r="H33" s="34"/>
      <c r="I33" s="34"/>
      <c r="J33" s="32" t="str">
        <f t="shared" si="0"/>
        <v/>
      </c>
      <c r="K33" s="33" t="str">
        <f t="shared" si="1"/>
        <v/>
      </c>
      <c r="L33" s="34">
        <v>18</v>
      </c>
      <c r="M33" s="34"/>
      <c r="N33" s="34"/>
      <c r="O33" s="33" t="str">
        <f t="shared" si="2"/>
        <v/>
      </c>
      <c r="P33" s="9"/>
      <c r="Q33" s="9"/>
      <c r="R33" s="9"/>
      <c r="S33" s="9"/>
      <c r="T33" s="9"/>
    </row>
    <row r="34" spans="1:20" ht="13.5" customHeight="1" x14ac:dyDescent="0.25">
      <c r="A34" s="9"/>
      <c r="B34" s="28">
        <v>16</v>
      </c>
      <c r="C34" s="29" t="s">
        <v>55</v>
      </c>
      <c r="D34" s="30" t="s">
        <v>56</v>
      </c>
      <c r="E34" s="31"/>
      <c r="F34" s="31"/>
      <c r="G34" s="31"/>
      <c r="H34" s="31"/>
      <c r="I34" s="31"/>
      <c r="J34" s="32" t="str">
        <f t="shared" si="0"/>
        <v/>
      </c>
      <c r="K34" s="33" t="str">
        <f t="shared" si="1"/>
        <v/>
      </c>
      <c r="L34" s="34"/>
      <c r="M34" s="34"/>
      <c r="N34" s="34"/>
      <c r="O34" s="33" t="str">
        <f t="shared" si="2"/>
        <v/>
      </c>
      <c r="P34" s="9"/>
      <c r="Q34" s="9"/>
      <c r="R34" s="9"/>
      <c r="S34" s="9"/>
      <c r="T34" s="9"/>
    </row>
    <row r="35" spans="1:20" ht="13.5" customHeight="1" x14ac:dyDescent="0.25">
      <c r="A35" s="9"/>
      <c r="B35" s="28">
        <v>17</v>
      </c>
      <c r="C35" s="29" t="s">
        <v>57</v>
      </c>
      <c r="D35" s="30" t="s">
        <v>58</v>
      </c>
      <c r="E35" s="34"/>
      <c r="F35" s="34"/>
      <c r="G35" s="34"/>
      <c r="H35" s="34"/>
      <c r="I35" s="34"/>
      <c r="J35" s="32" t="str">
        <f t="shared" si="0"/>
        <v/>
      </c>
      <c r="K35" s="33" t="str">
        <f t="shared" si="1"/>
        <v/>
      </c>
      <c r="L35" s="34">
        <v>18</v>
      </c>
      <c r="M35" s="34"/>
      <c r="N35" s="34"/>
      <c r="O35" s="33" t="str">
        <f t="shared" si="2"/>
        <v/>
      </c>
      <c r="P35" s="9"/>
      <c r="Q35" s="9"/>
      <c r="R35" s="9"/>
      <c r="S35" s="9"/>
      <c r="T35" s="9"/>
    </row>
    <row r="36" spans="1:20" ht="13.5" customHeight="1" x14ac:dyDescent="0.25">
      <c r="A36" s="9"/>
      <c r="B36" s="35">
        <v>18</v>
      </c>
      <c r="C36" s="29" t="s">
        <v>59</v>
      </c>
      <c r="D36" s="30" t="s">
        <v>60</v>
      </c>
      <c r="E36" s="31"/>
      <c r="F36" s="31"/>
      <c r="G36" s="31"/>
      <c r="H36" s="31"/>
      <c r="I36" s="31"/>
      <c r="J36" s="32" t="str">
        <f t="shared" si="0"/>
        <v/>
      </c>
      <c r="K36" s="33" t="str">
        <f t="shared" si="1"/>
        <v/>
      </c>
      <c r="L36" s="34"/>
      <c r="M36" s="34"/>
      <c r="N36" s="34"/>
      <c r="O36" s="33" t="str">
        <f t="shared" si="2"/>
        <v/>
      </c>
      <c r="P36" s="9"/>
      <c r="Q36" s="9"/>
      <c r="R36" s="9"/>
      <c r="S36" s="9"/>
      <c r="T36" s="9"/>
    </row>
    <row r="37" spans="1:20" ht="13.5" customHeight="1" x14ac:dyDescent="0.25">
      <c r="A37" s="9"/>
      <c r="B37" s="28">
        <v>19</v>
      </c>
      <c r="C37" s="29" t="s">
        <v>61</v>
      </c>
      <c r="D37" s="30" t="s">
        <v>62</v>
      </c>
      <c r="E37" s="34"/>
      <c r="F37" s="34"/>
      <c r="G37" s="34"/>
      <c r="H37" s="34"/>
      <c r="I37" s="34"/>
      <c r="J37" s="32" t="str">
        <f t="shared" si="0"/>
        <v/>
      </c>
      <c r="K37" s="33" t="str">
        <f t="shared" si="1"/>
        <v/>
      </c>
      <c r="L37" s="34"/>
      <c r="M37" s="34"/>
      <c r="N37" s="34"/>
      <c r="O37" s="33" t="str">
        <f t="shared" si="2"/>
        <v/>
      </c>
      <c r="P37" s="9"/>
      <c r="Q37" s="9"/>
      <c r="R37" s="9"/>
      <c r="S37" s="9"/>
      <c r="T37" s="9"/>
    </row>
    <row r="38" spans="1:20" ht="13.5" customHeight="1" x14ac:dyDescent="0.25">
      <c r="A38" s="9"/>
      <c r="B38" s="35">
        <v>20</v>
      </c>
      <c r="C38" s="29" t="s">
        <v>63</v>
      </c>
      <c r="D38" s="30" t="s">
        <v>64</v>
      </c>
      <c r="E38" s="34"/>
      <c r="F38" s="34"/>
      <c r="G38" s="34"/>
      <c r="H38" s="34"/>
      <c r="I38" s="34"/>
      <c r="J38" s="32" t="str">
        <f t="shared" si="0"/>
        <v/>
      </c>
      <c r="K38" s="33" t="str">
        <f t="shared" si="1"/>
        <v/>
      </c>
      <c r="L38" s="34"/>
      <c r="M38" s="34"/>
      <c r="N38" s="34"/>
      <c r="O38" s="33" t="str">
        <f t="shared" si="2"/>
        <v/>
      </c>
      <c r="P38" s="9"/>
      <c r="Q38" s="9"/>
      <c r="R38" s="9"/>
      <c r="S38" s="9"/>
      <c r="T38" s="9"/>
    </row>
    <row r="39" spans="1:20" ht="13.5" customHeight="1" x14ac:dyDescent="0.25">
      <c r="A39" s="9"/>
      <c r="B39" s="28">
        <v>21</v>
      </c>
      <c r="C39" s="29" t="s">
        <v>65</v>
      </c>
      <c r="D39" s="30" t="s">
        <v>66</v>
      </c>
      <c r="E39" s="31"/>
      <c r="F39" s="31"/>
      <c r="G39" s="31"/>
      <c r="H39" s="31"/>
      <c r="I39" s="31"/>
      <c r="J39" s="32" t="str">
        <f t="shared" si="0"/>
        <v/>
      </c>
      <c r="K39" s="33" t="str">
        <f t="shared" si="1"/>
        <v/>
      </c>
      <c r="L39" s="34"/>
      <c r="M39" s="34"/>
      <c r="N39" s="34"/>
      <c r="O39" s="33" t="str">
        <f t="shared" si="2"/>
        <v/>
      </c>
      <c r="P39" s="9"/>
      <c r="Q39" s="9"/>
      <c r="R39" s="9"/>
      <c r="S39" s="9"/>
      <c r="T39" s="9"/>
    </row>
    <row r="40" spans="1:20" ht="13.5" customHeight="1" x14ac:dyDescent="0.25">
      <c r="A40" s="9"/>
      <c r="B40" s="35">
        <v>22</v>
      </c>
      <c r="C40" s="29" t="s">
        <v>67</v>
      </c>
      <c r="D40" s="30" t="s">
        <v>68</v>
      </c>
      <c r="E40" s="34"/>
      <c r="F40" s="34"/>
      <c r="G40" s="34"/>
      <c r="H40" s="34"/>
      <c r="I40" s="34"/>
      <c r="J40" s="32" t="str">
        <f t="shared" si="0"/>
        <v/>
      </c>
      <c r="K40" s="33" t="str">
        <f t="shared" si="1"/>
        <v/>
      </c>
      <c r="L40" s="34">
        <v>17</v>
      </c>
      <c r="M40" s="34"/>
      <c r="N40" s="34"/>
      <c r="O40" s="33" t="str">
        <f t="shared" si="2"/>
        <v/>
      </c>
      <c r="P40" s="9"/>
      <c r="Q40" s="9"/>
      <c r="R40" s="9"/>
      <c r="S40" s="9"/>
      <c r="T40" s="9"/>
    </row>
    <row r="41" spans="1:20" ht="13.5" customHeight="1" x14ac:dyDescent="0.25">
      <c r="A41" s="9"/>
      <c r="B41" s="28">
        <v>23</v>
      </c>
      <c r="C41" s="29" t="s">
        <v>69</v>
      </c>
      <c r="D41" s="36" t="s">
        <v>70</v>
      </c>
      <c r="E41" s="37"/>
      <c r="F41" s="37"/>
      <c r="G41" s="37"/>
      <c r="H41" s="37"/>
      <c r="I41" s="37"/>
      <c r="J41" s="32" t="str">
        <f t="shared" si="0"/>
        <v/>
      </c>
      <c r="K41" s="33" t="str">
        <f t="shared" si="1"/>
        <v/>
      </c>
      <c r="L41" s="34"/>
      <c r="M41" s="34"/>
      <c r="N41" s="34"/>
      <c r="O41" s="33" t="str">
        <f t="shared" si="2"/>
        <v/>
      </c>
      <c r="P41" s="9"/>
      <c r="Q41" s="9"/>
      <c r="R41" s="9"/>
      <c r="S41" s="9"/>
      <c r="T41" s="9"/>
    </row>
    <row r="42" spans="1:20" ht="13.5" customHeight="1" x14ac:dyDescent="0.25">
      <c r="A42" s="9"/>
      <c r="B42" s="28">
        <v>24</v>
      </c>
      <c r="C42" s="29" t="s">
        <v>71</v>
      </c>
      <c r="D42" s="36" t="s">
        <v>72</v>
      </c>
      <c r="E42" s="37"/>
      <c r="F42" s="37"/>
      <c r="G42" s="37"/>
      <c r="H42" s="37"/>
      <c r="I42" s="37"/>
      <c r="J42" s="32" t="str">
        <f t="shared" si="0"/>
        <v/>
      </c>
      <c r="K42" s="33" t="str">
        <f t="shared" si="1"/>
        <v/>
      </c>
      <c r="L42" s="34"/>
      <c r="M42" s="34"/>
      <c r="N42" s="34"/>
      <c r="O42" s="33" t="str">
        <f t="shared" si="2"/>
        <v/>
      </c>
      <c r="P42" s="9"/>
      <c r="Q42" s="9"/>
      <c r="R42" s="9"/>
      <c r="S42" s="9"/>
      <c r="T42" s="9"/>
    </row>
    <row r="43" spans="1:20" ht="13.5" customHeight="1" x14ac:dyDescent="0.25">
      <c r="A43" s="9"/>
      <c r="B43" s="28">
        <v>25</v>
      </c>
      <c r="C43" s="29" t="s">
        <v>73</v>
      </c>
      <c r="D43" s="30" t="s">
        <v>74</v>
      </c>
      <c r="E43" s="34"/>
      <c r="F43" s="34"/>
      <c r="G43" s="34"/>
      <c r="H43" s="34"/>
      <c r="I43" s="34"/>
      <c r="J43" s="32" t="str">
        <f t="shared" si="0"/>
        <v/>
      </c>
      <c r="K43" s="33" t="str">
        <f t="shared" si="1"/>
        <v/>
      </c>
      <c r="L43" s="34"/>
      <c r="M43" s="34"/>
      <c r="N43" s="34"/>
      <c r="O43" s="33" t="str">
        <f t="shared" si="2"/>
        <v/>
      </c>
      <c r="P43" s="9"/>
      <c r="Q43" s="9"/>
      <c r="R43" s="9"/>
      <c r="S43" s="9"/>
      <c r="T43" s="9"/>
    </row>
    <row r="44" spans="1:20" ht="13.5" customHeight="1" x14ac:dyDescent="0.25">
      <c r="A44" s="9"/>
      <c r="B44" s="28">
        <v>26</v>
      </c>
      <c r="C44" s="29" t="s">
        <v>75</v>
      </c>
      <c r="D44" s="30" t="s">
        <v>76</v>
      </c>
      <c r="E44" s="31"/>
      <c r="F44" s="31"/>
      <c r="G44" s="31"/>
      <c r="H44" s="31"/>
      <c r="I44" s="31"/>
      <c r="J44" s="32" t="str">
        <f t="shared" si="0"/>
        <v/>
      </c>
      <c r="K44" s="33" t="str">
        <f t="shared" si="1"/>
        <v/>
      </c>
      <c r="L44" s="34"/>
      <c r="M44" s="34"/>
      <c r="N44" s="34"/>
      <c r="O44" s="33" t="str">
        <f t="shared" si="2"/>
        <v/>
      </c>
      <c r="P44" s="9"/>
      <c r="Q44" s="9"/>
      <c r="R44" s="9"/>
      <c r="S44" s="9"/>
      <c r="T44" s="9"/>
    </row>
    <row r="45" spans="1:20" ht="13.5" customHeight="1" x14ac:dyDescent="0.25">
      <c r="A45" s="9"/>
      <c r="B45" s="28">
        <v>27</v>
      </c>
      <c r="C45" s="29" t="s">
        <v>77</v>
      </c>
      <c r="D45" s="36" t="s">
        <v>78</v>
      </c>
      <c r="E45" s="37"/>
      <c r="F45" s="37"/>
      <c r="G45" s="37"/>
      <c r="H45" s="37"/>
      <c r="I45" s="37"/>
      <c r="J45" s="32" t="str">
        <f t="shared" si="0"/>
        <v/>
      </c>
      <c r="K45" s="33" t="str">
        <f t="shared" si="1"/>
        <v/>
      </c>
      <c r="L45" s="34">
        <v>14</v>
      </c>
      <c r="M45" s="34"/>
      <c r="N45" s="34"/>
      <c r="O45" s="33" t="str">
        <f t="shared" si="2"/>
        <v/>
      </c>
      <c r="P45" s="9"/>
      <c r="Q45" s="9"/>
      <c r="R45" s="9"/>
      <c r="S45" s="9"/>
      <c r="T45" s="9"/>
    </row>
    <row r="46" spans="1:20" ht="13.5" customHeight="1" x14ac:dyDescent="0.25">
      <c r="A46" s="9"/>
      <c r="B46" s="35">
        <v>28</v>
      </c>
      <c r="C46" s="29" t="s">
        <v>79</v>
      </c>
      <c r="D46" s="30" t="s">
        <v>80</v>
      </c>
      <c r="E46" s="34"/>
      <c r="F46" s="34"/>
      <c r="G46" s="34"/>
      <c r="H46" s="34"/>
      <c r="I46" s="34"/>
      <c r="J46" s="32" t="str">
        <f t="shared" si="0"/>
        <v/>
      </c>
      <c r="K46" s="33" t="str">
        <f t="shared" si="1"/>
        <v/>
      </c>
      <c r="L46" s="34"/>
      <c r="M46" s="34"/>
      <c r="N46" s="34"/>
      <c r="O46" s="33" t="str">
        <f t="shared" si="2"/>
        <v/>
      </c>
      <c r="P46" s="9"/>
      <c r="Q46" s="9"/>
      <c r="R46" s="9"/>
      <c r="S46" s="9"/>
      <c r="T46" s="9"/>
    </row>
    <row r="47" spans="1:20" ht="13.5" customHeight="1" x14ac:dyDescent="0.25">
      <c r="A47" s="9"/>
      <c r="B47" s="28">
        <v>29</v>
      </c>
      <c r="C47" s="29" t="s">
        <v>81</v>
      </c>
      <c r="D47" s="30" t="s">
        <v>82</v>
      </c>
      <c r="E47" s="31"/>
      <c r="F47" s="31"/>
      <c r="G47" s="31"/>
      <c r="H47" s="31"/>
      <c r="I47" s="31"/>
      <c r="J47" s="32" t="str">
        <f t="shared" si="0"/>
        <v/>
      </c>
      <c r="K47" s="33" t="str">
        <f t="shared" si="1"/>
        <v/>
      </c>
      <c r="L47" s="34"/>
      <c r="M47" s="34"/>
      <c r="N47" s="34"/>
      <c r="O47" s="33" t="str">
        <f t="shared" si="2"/>
        <v/>
      </c>
      <c r="P47" s="9"/>
      <c r="Q47" s="9"/>
      <c r="R47" s="9"/>
      <c r="S47" s="9"/>
      <c r="T47" s="9"/>
    </row>
    <row r="48" spans="1:20" ht="13.5" customHeight="1" x14ac:dyDescent="0.25">
      <c r="A48" s="9"/>
      <c r="B48" s="10">
        <v>30</v>
      </c>
      <c r="C48" s="11" t="s">
        <v>83</v>
      </c>
      <c r="D48" s="4" t="s">
        <v>84</v>
      </c>
      <c r="E48" s="39"/>
      <c r="F48" s="39"/>
      <c r="G48" s="39"/>
      <c r="H48" s="39"/>
      <c r="I48" s="39"/>
      <c r="J48" s="10" t="str">
        <f t="shared" si="0"/>
        <v/>
      </c>
      <c r="K48" s="11" t="str">
        <f t="shared" si="1"/>
        <v/>
      </c>
      <c r="L48" s="39"/>
      <c r="M48" s="39"/>
      <c r="N48" s="39"/>
      <c r="O48" s="11" t="str">
        <f t="shared" si="2"/>
        <v/>
      </c>
      <c r="P48" s="9"/>
      <c r="Q48" s="9"/>
      <c r="R48" s="9"/>
      <c r="S48" s="9"/>
      <c r="T48" s="9"/>
    </row>
    <row r="49" spans="1:20" ht="13.5" customHeight="1" x14ac:dyDescent="0.25">
      <c r="A49" s="9"/>
      <c r="B49" s="35">
        <v>31</v>
      </c>
      <c r="C49" s="29" t="s">
        <v>85</v>
      </c>
      <c r="D49" s="38" t="s">
        <v>86</v>
      </c>
      <c r="E49" s="34"/>
      <c r="F49" s="34"/>
      <c r="G49" s="34"/>
      <c r="H49" s="34"/>
      <c r="I49" s="34"/>
      <c r="J49" s="32" t="str">
        <f t="shared" si="0"/>
        <v/>
      </c>
      <c r="K49" s="33" t="str">
        <f t="shared" si="1"/>
        <v/>
      </c>
      <c r="L49" s="34"/>
      <c r="M49" s="34"/>
      <c r="N49" s="34"/>
      <c r="O49" s="33" t="str">
        <f t="shared" si="2"/>
        <v/>
      </c>
      <c r="P49" s="9"/>
      <c r="Q49" s="9"/>
      <c r="R49" s="9"/>
      <c r="S49" s="9"/>
      <c r="T49" s="9"/>
    </row>
    <row r="50" spans="1:20" ht="13.5" customHeight="1" x14ac:dyDescent="0.25">
      <c r="A50" s="9"/>
      <c r="B50" s="35">
        <v>32</v>
      </c>
      <c r="C50" s="29" t="s">
        <v>87</v>
      </c>
      <c r="D50" s="30" t="s">
        <v>88</v>
      </c>
      <c r="E50" s="31"/>
      <c r="F50" s="31"/>
      <c r="G50" s="31"/>
      <c r="H50" s="31"/>
      <c r="I50" s="31"/>
      <c r="J50" s="32" t="str">
        <f t="shared" si="0"/>
        <v/>
      </c>
      <c r="K50" s="33" t="str">
        <f t="shared" si="1"/>
        <v/>
      </c>
      <c r="L50" s="34">
        <v>16</v>
      </c>
      <c r="M50" s="34"/>
      <c r="N50" s="34"/>
      <c r="O50" s="33" t="str">
        <f t="shared" si="2"/>
        <v/>
      </c>
      <c r="P50" s="9"/>
      <c r="Q50" s="9"/>
      <c r="R50" s="9"/>
      <c r="S50" s="9"/>
      <c r="T50" s="9"/>
    </row>
    <row r="51" spans="1:20" ht="13.5" customHeight="1" x14ac:dyDescent="0.25">
      <c r="A51" s="9"/>
      <c r="B51" s="35">
        <v>33</v>
      </c>
      <c r="C51" s="29" t="s">
        <v>89</v>
      </c>
      <c r="D51" s="30" t="s">
        <v>90</v>
      </c>
      <c r="E51" s="34"/>
      <c r="F51" s="34"/>
      <c r="G51" s="34"/>
      <c r="H51" s="34"/>
      <c r="I51" s="34"/>
      <c r="J51" s="32" t="str">
        <f t="shared" si="0"/>
        <v/>
      </c>
      <c r="K51" s="33" t="str">
        <f t="shared" si="1"/>
        <v/>
      </c>
      <c r="L51" s="34">
        <v>20</v>
      </c>
      <c r="M51" s="34"/>
      <c r="N51" s="34"/>
      <c r="O51" s="33" t="str">
        <f t="shared" si="2"/>
        <v/>
      </c>
      <c r="P51" s="9"/>
      <c r="Q51" s="9"/>
      <c r="R51" s="9"/>
      <c r="S51" s="9"/>
      <c r="T51" s="9"/>
    </row>
    <row r="52" spans="1:20" ht="13.5" customHeight="1" x14ac:dyDescent="0.25">
      <c r="A52" s="9"/>
      <c r="B52" s="35">
        <v>34</v>
      </c>
      <c r="C52" s="29" t="s">
        <v>91</v>
      </c>
      <c r="D52" s="30" t="s">
        <v>92</v>
      </c>
      <c r="E52" s="31"/>
      <c r="F52" s="31"/>
      <c r="G52" s="31"/>
      <c r="H52" s="31"/>
      <c r="I52" s="31"/>
      <c r="J52" s="32" t="str">
        <f t="shared" si="0"/>
        <v/>
      </c>
      <c r="K52" s="33" t="str">
        <f t="shared" si="1"/>
        <v/>
      </c>
      <c r="L52" s="34">
        <v>14</v>
      </c>
      <c r="M52" s="34"/>
      <c r="N52" s="34"/>
      <c r="O52" s="33" t="str">
        <f t="shared" si="2"/>
        <v/>
      </c>
      <c r="P52" s="9"/>
      <c r="Q52" s="9"/>
      <c r="R52" s="9"/>
      <c r="S52" s="9"/>
      <c r="T52" s="9"/>
    </row>
    <row r="53" spans="1:20" ht="13.5" customHeight="1" x14ac:dyDescent="0.25">
      <c r="A53" s="9"/>
      <c r="B53" s="28">
        <v>35</v>
      </c>
      <c r="C53" s="29" t="s">
        <v>93</v>
      </c>
      <c r="D53" s="36" t="s">
        <v>94</v>
      </c>
      <c r="E53" s="37"/>
      <c r="F53" s="37"/>
      <c r="G53" s="37"/>
      <c r="H53" s="37"/>
      <c r="I53" s="37"/>
      <c r="J53" s="32" t="str">
        <f t="shared" si="0"/>
        <v/>
      </c>
      <c r="K53" s="33" t="str">
        <f t="shared" si="1"/>
        <v/>
      </c>
      <c r="L53" s="34">
        <v>17</v>
      </c>
      <c r="M53" s="34"/>
      <c r="N53" s="34"/>
      <c r="O53" s="33" t="str">
        <f t="shared" si="2"/>
        <v/>
      </c>
      <c r="P53" s="9"/>
      <c r="Q53" s="9"/>
      <c r="R53" s="9"/>
      <c r="S53" s="9"/>
      <c r="T53" s="9"/>
    </row>
    <row r="54" spans="1:20" ht="13.5" customHeight="1" x14ac:dyDescent="0.25">
      <c r="A54" s="9"/>
      <c r="B54" s="10">
        <v>36</v>
      </c>
      <c r="C54" s="11" t="s">
        <v>95</v>
      </c>
      <c r="D54" s="4" t="s">
        <v>96</v>
      </c>
      <c r="E54" s="39"/>
      <c r="F54" s="39"/>
      <c r="G54" s="39"/>
      <c r="H54" s="39"/>
      <c r="I54" s="39"/>
      <c r="J54" s="10" t="str">
        <f t="shared" si="0"/>
        <v/>
      </c>
      <c r="K54" s="11" t="str">
        <f t="shared" si="1"/>
        <v/>
      </c>
      <c r="L54" s="39"/>
      <c r="M54" s="39"/>
      <c r="N54" s="39"/>
      <c r="O54" s="11" t="str">
        <f t="shared" si="2"/>
        <v/>
      </c>
      <c r="P54" s="9"/>
      <c r="Q54" s="9"/>
      <c r="R54" s="9"/>
      <c r="S54" s="9"/>
      <c r="T54" s="9"/>
    </row>
    <row r="55" spans="1:20" ht="13.5" customHeight="1" x14ac:dyDescent="0.25">
      <c r="A55" s="9"/>
      <c r="B55" s="35">
        <v>37</v>
      </c>
      <c r="C55" s="29" t="s">
        <v>97</v>
      </c>
      <c r="D55" s="36" t="s">
        <v>98</v>
      </c>
      <c r="E55" s="37"/>
      <c r="F55" s="37"/>
      <c r="G55" s="37"/>
      <c r="H55" s="37"/>
      <c r="I55" s="37"/>
      <c r="J55" s="32" t="str">
        <f t="shared" si="0"/>
        <v/>
      </c>
      <c r="K55" s="33" t="str">
        <f t="shared" si="1"/>
        <v/>
      </c>
      <c r="L55" s="34"/>
      <c r="M55" s="34"/>
      <c r="N55" s="34"/>
      <c r="O55" s="33" t="str">
        <f t="shared" si="2"/>
        <v/>
      </c>
      <c r="P55" s="9"/>
      <c r="Q55" s="9"/>
      <c r="R55" s="9"/>
      <c r="S55" s="9"/>
      <c r="T55" s="9"/>
    </row>
    <row r="56" spans="1:20" ht="13.5" customHeight="1" x14ac:dyDescent="0.25">
      <c r="A56" s="9"/>
      <c r="B56" s="35">
        <v>38</v>
      </c>
      <c r="C56" s="29" t="s">
        <v>99</v>
      </c>
      <c r="D56" s="30" t="s">
        <v>100</v>
      </c>
      <c r="E56" s="34"/>
      <c r="F56" s="34"/>
      <c r="G56" s="34"/>
      <c r="H56" s="34"/>
      <c r="I56" s="34"/>
      <c r="J56" s="32" t="str">
        <f t="shared" si="0"/>
        <v/>
      </c>
      <c r="K56" s="33" t="str">
        <f t="shared" si="1"/>
        <v/>
      </c>
      <c r="L56" s="34"/>
      <c r="M56" s="34"/>
      <c r="N56" s="34"/>
      <c r="O56" s="33" t="str">
        <f t="shared" si="2"/>
        <v/>
      </c>
      <c r="P56" s="9"/>
      <c r="Q56" s="9"/>
      <c r="R56" s="9"/>
      <c r="S56" s="9"/>
      <c r="T56" s="9"/>
    </row>
    <row r="57" spans="1:20" ht="13.5" customHeight="1" x14ac:dyDescent="0.25">
      <c r="A57" s="9"/>
      <c r="B57" s="35">
        <v>39</v>
      </c>
      <c r="C57" s="29" t="s">
        <v>101</v>
      </c>
      <c r="D57" s="30" t="s">
        <v>102</v>
      </c>
      <c r="E57" s="34"/>
      <c r="F57" s="34"/>
      <c r="G57" s="34"/>
      <c r="H57" s="34"/>
      <c r="I57" s="34"/>
      <c r="J57" s="32" t="str">
        <f t="shared" si="0"/>
        <v/>
      </c>
      <c r="K57" s="33" t="str">
        <f t="shared" si="1"/>
        <v/>
      </c>
      <c r="L57" s="34"/>
      <c r="M57" s="34"/>
      <c r="N57" s="34"/>
      <c r="O57" s="33" t="str">
        <f t="shared" si="2"/>
        <v/>
      </c>
      <c r="P57" s="9"/>
      <c r="Q57" s="9"/>
      <c r="R57" s="9"/>
      <c r="S57" s="9"/>
      <c r="T57" s="9"/>
    </row>
    <row r="58" spans="1:20" ht="13.5" customHeight="1" x14ac:dyDescent="0.25">
      <c r="A58" s="9"/>
      <c r="B58" s="35">
        <v>40</v>
      </c>
      <c r="C58" s="29" t="s">
        <v>103</v>
      </c>
      <c r="D58" s="30" t="s">
        <v>104</v>
      </c>
      <c r="E58" s="31"/>
      <c r="F58" s="31"/>
      <c r="G58" s="31"/>
      <c r="H58" s="31"/>
      <c r="I58" s="31"/>
      <c r="J58" s="32" t="str">
        <f t="shared" si="0"/>
        <v/>
      </c>
      <c r="K58" s="33" t="str">
        <f t="shared" si="1"/>
        <v/>
      </c>
      <c r="L58" s="34"/>
      <c r="M58" s="34"/>
      <c r="N58" s="34"/>
      <c r="O58" s="33" t="str">
        <f t="shared" si="2"/>
        <v/>
      </c>
      <c r="P58" s="9"/>
      <c r="Q58" s="9"/>
      <c r="R58" s="9"/>
      <c r="S58" s="9"/>
      <c r="T58" s="9"/>
    </row>
    <row r="59" spans="1:20" ht="13.5" customHeight="1" x14ac:dyDescent="0.25">
      <c r="A59" s="9"/>
      <c r="B59" s="28">
        <v>41</v>
      </c>
      <c r="C59" s="29" t="s">
        <v>105</v>
      </c>
      <c r="D59" s="30" t="s">
        <v>106</v>
      </c>
      <c r="E59" s="31"/>
      <c r="F59" s="31"/>
      <c r="G59" s="31"/>
      <c r="H59" s="31"/>
      <c r="I59" s="31"/>
      <c r="J59" s="32" t="str">
        <f t="shared" si="0"/>
        <v/>
      </c>
      <c r="K59" s="33" t="str">
        <f t="shared" si="1"/>
        <v/>
      </c>
      <c r="L59" s="34"/>
      <c r="M59" s="34"/>
      <c r="N59" s="34"/>
      <c r="O59" s="33" t="str">
        <f t="shared" si="2"/>
        <v/>
      </c>
      <c r="P59" s="9"/>
      <c r="Q59" s="9"/>
      <c r="R59" s="9"/>
      <c r="S59" s="9"/>
      <c r="T59" s="9"/>
    </row>
    <row r="60" spans="1:20" ht="13.5" customHeight="1" x14ac:dyDescent="0.25">
      <c r="A60" s="9"/>
      <c r="B60" s="35">
        <v>42</v>
      </c>
      <c r="C60" s="29" t="s">
        <v>107</v>
      </c>
      <c r="D60" s="30" t="s">
        <v>108</v>
      </c>
      <c r="E60" s="31"/>
      <c r="F60" s="31"/>
      <c r="G60" s="31"/>
      <c r="H60" s="31"/>
      <c r="I60" s="31"/>
      <c r="J60" s="32" t="str">
        <f t="shared" si="0"/>
        <v/>
      </c>
      <c r="K60" s="33" t="str">
        <f t="shared" si="1"/>
        <v/>
      </c>
      <c r="L60" s="34"/>
      <c r="M60" s="34"/>
      <c r="N60" s="34"/>
      <c r="O60" s="33" t="str">
        <f t="shared" si="2"/>
        <v/>
      </c>
      <c r="P60" s="9"/>
      <c r="Q60" s="9"/>
      <c r="R60" s="9"/>
      <c r="S60" s="9"/>
      <c r="T60" s="9"/>
    </row>
    <row r="61" spans="1:20" ht="13.5" customHeight="1" x14ac:dyDescent="0.25">
      <c r="A61" s="9"/>
      <c r="B61" s="28">
        <v>43</v>
      </c>
      <c r="C61" s="29" t="s">
        <v>109</v>
      </c>
      <c r="D61" s="36" t="s">
        <v>110</v>
      </c>
      <c r="E61" s="37"/>
      <c r="F61" s="37"/>
      <c r="G61" s="37"/>
      <c r="H61" s="37"/>
      <c r="I61" s="37"/>
      <c r="J61" s="32" t="str">
        <f t="shared" si="0"/>
        <v/>
      </c>
      <c r="K61" s="33" t="str">
        <f t="shared" si="1"/>
        <v/>
      </c>
      <c r="L61" s="34"/>
      <c r="M61" s="34"/>
      <c r="N61" s="34"/>
      <c r="O61" s="33" t="str">
        <f t="shared" si="2"/>
        <v/>
      </c>
      <c r="P61" s="9"/>
      <c r="Q61" s="9"/>
      <c r="R61" s="9"/>
      <c r="S61" s="9"/>
      <c r="T61" s="9"/>
    </row>
    <row r="62" spans="1:20" ht="13.5" customHeight="1" x14ac:dyDescent="0.25">
      <c r="A62" s="9"/>
      <c r="B62" s="35">
        <v>44</v>
      </c>
      <c r="C62" s="29" t="s">
        <v>111</v>
      </c>
      <c r="D62" s="36" t="s">
        <v>112</v>
      </c>
      <c r="E62" s="37"/>
      <c r="F62" s="37"/>
      <c r="G62" s="37"/>
      <c r="H62" s="37"/>
      <c r="I62" s="37"/>
      <c r="J62" s="32" t="str">
        <f t="shared" si="0"/>
        <v/>
      </c>
      <c r="K62" s="33" t="str">
        <f t="shared" si="1"/>
        <v/>
      </c>
      <c r="L62" s="34">
        <v>14</v>
      </c>
      <c r="M62" s="34"/>
      <c r="N62" s="34"/>
      <c r="O62" s="33" t="str">
        <f t="shared" si="2"/>
        <v/>
      </c>
      <c r="P62" s="9"/>
      <c r="Q62" s="9"/>
      <c r="R62" s="9"/>
      <c r="S62" s="9"/>
      <c r="T62" s="9"/>
    </row>
    <row r="63" spans="1:20" ht="13.5" customHeight="1" x14ac:dyDescent="0.25">
      <c r="A63" s="9"/>
      <c r="B63" s="10">
        <v>45</v>
      </c>
      <c r="C63" s="11" t="s">
        <v>113</v>
      </c>
      <c r="D63" s="4" t="s">
        <v>114</v>
      </c>
      <c r="E63" s="39"/>
      <c r="F63" s="39"/>
      <c r="G63" s="39"/>
      <c r="H63" s="39"/>
      <c r="I63" s="39"/>
      <c r="J63" s="10" t="str">
        <f t="shared" si="0"/>
        <v/>
      </c>
      <c r="K63" s="11" t="str">
        <f t="shared" si="1"/>
        <v/>
      </c>
      <c r="L63" s="39"/>
      <c r="M63" s="39"/>
      <c r="N63" s="39"/>
      <c r="O63" s="11" t="str">
        <f t="shared" si="2"/>
        <v/>
      </c>
      <c r="P63" s="9"/>
      <c r="Q63" s="9"/>
      <c r="R63" s="9"/>
      <c r="S63" s="9"/>
      <c r="T63" s="9"/>
    </row>
    <row r="64" spans="1:20" ht="13.5" customHeight="1" x14ac:dyDescent="0.25">
      <c r="A64" s="9"/>
      <c r="B64" s="28">
        <v>46</v>
      </c>
      <c r="C64" s="29" t="s">
        <v>115</v>
      </c>
      <c r="D64" s="30" t="s">
        <v>116</v>
      </c>
      <c r="E64" s="34"/>
      <c r="F64" s="34"/>
      <c r="G64" s="34"/>
      <c r="H64" s="34"/>
      <c r="I64" s="34"/>
      <c r="J64" s="32" t="str">
        <f t="shared" si="0"/>
        <v/>
      </c>
      <c r="K64" s="33" t="str">
        <f t="shared" si="1"/>
        <v/>
      </c>
      <c r="L64" s="34">
        <v>13</v>
      </c>
      <c r="M64" s="34"/>
      <c r="N64" s="34"/>
      <c r="O64" s="33" t="str">
        <f t="shared" si="2"/>
        <v/>
      </c>
      <c r="P64" s="9"/>
      <c r="Q64" s="9"/>
      <c r="R64" s="9"/>
      <c r="S64" s="9"/>
      <c r="T64" s="9"/>
    </row>
    <row r="65" spans="1:36" ht="13.5" customHeight="1" x14ac:dyDescent="0.25">
      <c r="A65" s="9"/>
      <c r="B65" s="35">
        <v>47</v>
      </c>
      <c r="C65" s="29" t="s">
        <v>117</v>
      </c>
      <c r="D65" s="30" t="s">
        <v>118</v>
      </c>
      <c r="E65" s="31"/>
      <c r="F65" s="31"/>
      <c r="G65" s="31"/>
      <c r="H65" s="31"/>
      <c r="I65" s="31"/>
      <c r="J65" s="32" t="str">
        <f t="shared" si="0"/>
        <v/>
      </c>
      <c r="K65" s="33" t="str">
        <f t="shared" si="1"/>
        <v/>
      </c>
      <c r="L65" s="34">
        <v>17</v>
      </c>
      <c r="M65" s="34"/>
      <c r="N65" s="34"/>
      <c r="O65" s="33" t="str">
        <f t="shared" si="2"/>
        <v/>
      </c>
      <c r="P65" s="9"/>
      <c r="Q65" s="9"/>
      <c r="R65" s="9"/>
      <c r="S65" s="9"/>
      <c r="T65" s="9"/>
    </row>
    <row r="66" spans="1:36" ht="13.5" customHeight="1" x14ac:dyDescent="0.25">
      <c r="A66" s="9"/>
      <c r="B66" s="28">
        <v>48</v>
      </c>
      <c r="C66" s="29" t="s">
        <v>119</v>
      </c>
      <c r="D66" s="30" t="s">
        <v>120</v>
      </c>
      <c r="E66" s="31"/>
      <c r="F66" s="31"/>
      <c r="G66" s="31"/>
      <c r="H66" s="31"/>
      <c r="I66" s="31"/>
      <c r="J66" s="32" t="str">
        <f t="shared" si="0"/>
        <v/>
      </c>
      <c r="K66" s="33" t="str">
        <f t="shared" si="1"/>
        <v/>
      </c>
      <c r="L66" s="34"/>
      <c r="M66" s="34"/>
      <c r="N66" s="34"/>
      <c r="O66" s="33" t="str">
        <f t="shared" si="2"/>
        <v/>
      </c>
      <c r="P66" s="9"/>
      <c r="Q66" s="9"/>
      <c r="R66" s="9"/>
      <c r="S66" s="9"/>
      <c r="T66" s="9"/>
      <c r="W66" s="4">
        <v>48</v>
      </c>
      <c r="X66" s="4" t="s">
        <v>121</v>
      </c>
      <c r="Y66" s="4" t="s">
        <v>122</v>
      </c>
      <c r="AC66" s="4">
        <v>50</v>
      </c>
      <c r="AE66" s="4">
        <v>12.5</v>
      </c>
      <c r="AF66" s="4" t="s">
        <v>123</v>
      </c>
      <c r="AJ66" s="4" t="s">
        <v>124</v>
      </c>
    </row>
    <row r="67" spans="1:36" ht="13.5" customHeight="1" x14ac:dyDescent="0.25">
      <c r="A67" s="9"/>
      <c r="B67" s="28">
        <v>49</v>
      </c>
      <c r="C67" s="29" t="s">
        <v>125</v>
      </c>
      <c r="D67" s="36" t="s">
        <v>126</v>
      </c>
      <c r="E67" s="37"/>
      <c r="F67" s="37"/>
      <c r="G67" s="37"/>
      <c r="H67" s="37"/>
      <c r="I67" s="37"/>
      <c r="J67" s="32" t="str">
        <f t="shared" si="0"/>
        <v/>
      </c>
      <c r="K67" s="33" t="str">
        <f t="shared" si="1"/>
        <v/>
      </c>
      <c r="L67" s="34">
        <v>16</v>
      </c>
      <c r="M67" s="34"/>
      <c r="N67" s="34"/>
      <c r="O67" s="33" t="str">
        <f t="shared" si="2"/>
        <v/>
      </c>
      <c r="P67" s="9"/>
      <c r="Q67" s="9"/>
      <c r="R67" s="9"/>
      <c r="S67" s="9"/>
      <c r="T67" s="9"/>
      <c r="W67" s="4">
        <v>49</v>
      </c>
      <c r="X67" s="4" t="s">
        <v>127</v>
      </c>
      <c r="Y67" s="4" t="s">
        <v>128</v>
      </c>
      <c r="Z67" s="4">
        <v>9</v>
      </c>
      <c r="AC67" s="4">
        <v>40</v>
      </c>
      <c r="AE67" s="4">
        <v>32.5</v>
      </c>
      <c r="AF67" s="4" t="s">
        <v>129</v>
      </c>
      <c r="AJ67" s="4" t="s">
        <v>130</v>
      </c>
    </row>
    <row r="68" spans="1:36" ht="13.5" customHeight="1" x14ac:dyDescent="0.25">
      <c r="A68" s="9"/>
      <c r="B68" s="28">
        <v>50</v>
      </c>
      <c r="C68" s="29" t="s">
        <v>131</v>
      </c>
      <c r="D68" s="30" t="s">
        <v>132</v>
      </c>
      <c r="E68" s="31"/>
      <c r="F68" s="31"/>
      <c r="G68" s="31"/>
      <c r="H68" s="31"/>
      <c r="I68" s="31"/>
      <c r="J68" s="32" t="str">
        <f t="shared" si="0"/>
        <v/>
      </c>
      <c r="K68" s="33" t="str">
        <f t="shared" si="1"/>
        <v/>
      </c>
      <c r="L68" s="34"/>
      <c r="M68" s="34"/>
      <c r="N68" s="34"/>
      <c r="O68" s="33" t="str">
        <f t="shared" si="2"/>
        <v/>
      </c>
      <c r="P68" s="9"/>
      <c r="Q68" s="9"/>
      <c r="R68" s="9"/>
      <c r="S68" s="9"/>
      <c r="T68" s="9"/>
    </row>
    <row r="69" spans="1:36" ht="13.5" customHeight="1" x14ac:dyDescent="0.25">
      <c r="A69" s="9"/>
      <c r="B69" s="35">
        <v>51</v>
      </c>
      <c r="C69" s="29" t="s">
        <v>133</v>
      </c>
      <c r="D69" s="36" t="s">
        <v>134</v>
      </c>
      <c r="E69" s="37"/>
      <c r="F69" s="37"/>
      <c r="G69" s="37"/>
      <c r="H69" s="37"/>
      <c r="I69" s="37"/>
      <c r="J69" s="32" t="str">
        <f t="shared" si="0"/>
        <v/>
      </c>
      <c r="K69" s="33" t="str">
        <f t="shared" si="1"/>
        <v/>
      </c>
      <c r="L69" s="34">
        <v>14</v>
      </c>
      <c r="M69" s="34"/>
      <c r="N69" s="34"/>
      <c r="O69" s="33" t="str">
        <f t="shared" si="2"/>
        <v/>
      </c>
      <c r="P69" s="9"/>
      <c r="Q69" s="9"/>
      <c r="R69" s="9"/>
      <c r="S69" s="9"/>
      <c r="T69" s="9"/>
    </row>
    <row r="70" spans="1:36" ht="13.5" customHeight="1" x14ac:dyDescent="0.25">
      <c r="A70" s="9"/>
      <c r="B70" s="35">
        <v>52</v>
      </c>
      <c r="C70" s="29" t="s">
        <v>135</v>
      </c>
      <c r="D70" s="36" t="s">
        <v>136</v>
      </c>
      <c r="E70" s="37"/>
      <c r="F70" s="37"/>
      <c r="G70" s="37"/>
      <c r="H70" s="37"/>
      <c r="I70" s="37"/>
      <c r="J70" s="32" t="str">
        <f t="shared" si="0"/>
        <v/>
      </c>
      <c r="K70" s="33" t="str">
        <f t="shared" si="1"/>
        <v/>
      </c>
      <c r="L70" s="34"/>
      <c r="M70" s="34"/>
      <c r="N70" s="34"/>
      <c r="O70" s="33" t="str">
        <f t="shared" si="2"/>
        <v/>
      </c>
      <c r="P70" s="9"/>
      <c r="Q70" s="9"/>
      <c r="R70" s="9"/>
      <c r="S70" s="9"/>
      <c r="T70" s="9"/>
    </row>
    <row r="71" spans="1:36" ht="13.5" customHeight="1" x14ac:dyDescent="0.25">
      <c r="A71" s="9"/>
      <c r="B71" s="10">
        <v>53</v>
      </c>
      <c r="C71" s="11" t="s">
        <v>137</v>
      </c>
      <c r="D71" s="4" t="s">
        <v>138</v>
      </c>
      <c r="E71" s="39"/>
      <c r="F71" s="39"/>
      <c r="G71" s="39"/>
      <c r="H71" s="39"/>
      <c r="I71" s="39"/>
      <c r="J71" s="10" t="str">
        <f t="shared" si="0"/>
        <v/>
      </c>
      <c r="K71" s="11" t="str">
        <f t="shared" si="1"/>
        <v/>
      </c>
      <c r="L71" s="39">
        <v>16</v>
      </c>
      <c r="M71" s="39"/>
      <c r="N71" s="39"/>
      <c r="O71" s="11" t="str">
        <f t="shared" si="2"/>
        <v/>
      </c>
      <c r="P71" s="9"/>
      <c r="Q71" s="9"/>
      <c r="R71" s="9"/>
      <c r="S71" s="9"/>
      <c r="T71" s="9"/>
    </row>
    <row r="72" spans="1:36" ht="13.5" customHeight="1" x14ac:dyDescent="0.25">
      <c r="A72" s="9"/>
      <c r="B72" s="10">
        <v>54</v>
      </c>
      <c r="C72" s="11" t="s">
        <v>139</v>
      </c>
      <c r="D72" s="4" t="s">
        <v>140</v>
      </c>
      <c r="E72" s="39"/>
      <c r="F72" s="39"/>
      <c r="G72" s="39"/>
      <c r="H72" s="39"/>
      <c r="I72" s="39"/>
      <c r="J72" s="10" t="str">
        <f t="shared" si="0"/>
        <v/>
      </c>
      <c r="K72" s="11" t="str">
        <f t="shared" si="1"/>
        <v/>
      </c>
      <c r="L72" s="39"/>
      <c r="M72" s="39"/>
      <c r="N72" s="39"/>
      <c r="O72" s="11" t="str">
        <f t="shared" si="2"/>
        <v/>
      </c>
      <c r="P72" s="9"/>
      <c r="Q72" s="9"/>
      <c r="R72" s="9"/>
      <c r="S72" s="9"/>
      <c r="T72" s="9"/>
    </row>
    <row r="73" spans="1:36" ht="13.5" customHeight="1" x14ac:dyDescent="0.25">
      <c r="A73" s="9"/>
      <c r="B73" s="28">
        <v>55</v>
      </c>
      <c r="C73" s="29" t="s">
        <v>141</v>
      </c>
      <c r="D73" s="30" t="s">
        <v>142</v>
      </c>
      <c r="E73" s="34"/>
      <c r="F73" s="34"/>
      <c r="G73" s="34"/>
      <c r="H73" s="34"/>
      <c r="I73" s="34"/>
      <c r="J73" s="32" t="str">
        <f t="shared" si="0"/>
        <v/>
      </c>
      <c r="K73" s="33" t="str">
        <f t="shared" si="1"/>
        <v/>
      </c>
      <c r="L73" s="34">
        <v>18</v>
      </c>
      <c r="M73" s="34"/>
      <c r="N73" s="34"/>
      <c r="O73" s="33" t="str">
        <f t="shared" si="2"/>
        <v/>
      </c>
      <c r="P73" s="9"/>
      <c r="Q73" s="9"/>
      <c r="R73" s="9"/>
      <c r="S73" s="9"/>
      <c r="T73" s="9"/>
    </row>
    <row r="74" spans="1:36" ht="13.5" customHeight="1" x14ac:dyDescent="0.25">
      <c r="A74" s="9"/>
      <c r="B74" s="28">
        <v>56</v>
      </c>
      <c r="C74" s="29" t="s">
        <v>143</v>
      </c>
      <c r="D74" s="30" t="s">
        <v>144</v>
      </c>
      <c r="E74" s="31"/>
      <c r="F74" s="31"/>
      <c r="G74" s="31"/>
      <c r="H74" s="31"/>
      <c r="I74" s="31"/>
      <c r="J74" s="32" t="str">
        <f t="shared" si="0"/>
        <v/>
      </c>
      <c r="K74" s="33" t="str">
        <f t="shared" si="1"/>
        <v/>
      </c>
      <c r="L74" s="34"/>
      <c r="M74" s="34"/>
      <c r="N74" s="34"/>
      <c r="O74" s="33" t="str">
        <f t="shared" si="2"/>
        <v/>
      </c>
      <c r="P74" s="9"/>
      <c r="Q74" s="9"/>
      <c r="R74" s="9"/>
      <c r="S74" s="9"/>
      <c r="T74" s="9"/>
    </row>
    <row r="75" spans="1:36" ht="13.5" customHeight="1" x14ac:dyDescent="0.25">
      <c r="A75" s="9"/>
      <c r="B75" s="28">
        <v>57</v>
      </c>
      <c r="C75" s="29" t="s">
        <v>145</v>
      </c>
      <c r="D75" s="36" t="s">
        <v>146</v>
      </c>
      <c r="E75" s="37"/>
      <c r="F75" s="37"/>
      <c r="G75" s="37"/>
      <c r="H75" s="37"/>
      <c r="I75" s="37"/>
      <c r="J75" s="32" t="str">
        <f t="shared" si="0"/>
        <v/>
      </c>
      <c r="K75" s="33" t="str">
        <f t="shared" si="1"/>
        <v/>
      </c>
      <c r="L75" s="34">
        <v>17</v>
      </c>
      <c r="M75" s="34"/>
      <c r="N75" s="34"/>
      <c r="O75" s="33" t="str">
        <f t="shared" si="2"/>
        <v/>
      </c>
      <c r="P75" s="9"/>
      <c r="Q75" s="9"/>
      <c r="R75" s="9"/>
      <c r="S75" s="9"/>
      <c r="T75" s="9"/>
    </row>
    <row r="76" spans="1:36" ht="13.5" customHeight="1" x14ac:dyDescent="0.25">
      <c r="A76" s="9"/>
      <c r="B76" s="28">
        <v>58</v>
      </c>
      <c r="C76" s="29" t="s">
        <v>147</v>
      </c>
      <c r="D76" s="36" t="s">
        <v>148</v>
      </c>
      <c r="E76" s="37"/>
      <c r="F76" s="37"/>
      <c r="G76" s="37"/>
      <c r="H76" s="37"/>
      <c r="I76" s="37"/>
      <c r="J76" s="32" t="str">
        <f t="shared" si="0"/>
        <v/>
      </c>
      <c r="K76" s="33" t="str">
        <f t="shared" si="1"/>
        <v/>
      </c>
      <c r="L76" s="34">
        <v>17</v>
      </c>
      <c r="M76" s="34"/>
      <c r="N76" s="34"/>
      <c r="O76" s="33" t="str">
        <f t="shared" si="2"/>
        <v/>
      </c>
      <c r="P76" s="9"/>
      <c r="Q76" s="9"/>
      <c r="R76" s="9"/>
      <c r="S76" s="9"/>
      <c r="T76" s="9"/>
    </row>
    <row r="77" spans="1:36" ht="13.5" customHeight="1" x14ac:dyDescent="0.25">
      <c r="A77" s="9"/>
      <c r="B77" s="35">
        <v>59</v>
      </c>
      <c r="C77" s="29" t="s">
        <v>149</v>
      </c>
      <c r="D77" s="36" t="s">
        <v>150</v>
      </c>
      <c r="E77" s="37"/>
      <c r="F77" s="37"/>
      <c r="G77" s="37"/>
      <c r="H77" s="37"/>
      <c r="I77" s="37"/>
      <c r="J77" s="32" t="str">
        <f t="shared" si="0"/>
        <v/>
      </c>
      <c r="K77" s="33" t="str">
        <f t="shared" si="1"/>
        <v/>
      </c>
      <c r="L77" s="34">
        <v>15</v>
      </c>
      <c r="M77" s="34"/>
      <c r="N77" s="34"/>
      <c r="O77" s="33" t="str">
        <f t="shared" si="2"/>
        <v/>
      </c>
      <c r="P77" s="9"/>
      <c r="Q77" s="9"/>
      <c r="R77" s="9"/>
      <c r="S77" s="9"/>
      <c r="T77" s="9"/>
    </row>
    <row r="78" spans="1:36" ht="13.5" customHeight="1" x14ac:dyDescent="0.25">
      <c r="A78" s="9"/>
      <c r="B78" s="28">
        <v>60</v>
      </c>
      <c r="C78" s="29" t="s">
        <v>151</v>
      </c>
      <c r="D78" s="30" t="s">
        <v>152</v>
      </c>
      <c r="E78" s="31"/>
      <c r="F78" s="31"/>
      <c r="G78" s="31"/>
      <c r="H78" s="31"/>
      <c r="I78" s="31"/>
      <c r="J78" s="32" t="str">
        <f t="shared" si="0"/>
        <v/>
      </c>
      <c r="K78" s="33" t="str">
        <f t="shared" si="1"/>
        <v/>
      </c>
      <c r="L78" s="34"/>
      <c r="M78" s="34"/>
      <c r="N78" s="34"/>
      <c r="O78" s="33" t="str">
        <f t="shared" si="2"/>
        <v/>
      </c>
      <c r="P78" s="9"/>
      <c r="Q78" s="9"/>
      <c r="R78" s="9"/>
      <c r="S78" s="9"/>
      <c r="T78" s="9"/>
    </row>
    <row r="79" spans="1:36" ht="13.5" customHeight="1" x14ac:dyDescent="0.25">
      <c r="A79" s="9"/>
      <c r="B79" s="35">
        <v>61</v>
      </c>
      <c r="C79" s="29" t="s">
        <v>153</v>
      </c>
      <c r="D79" s="30" t="s">
        <v>154</v>
      </c>
      <c r="E79" s="31"/>
      <c r="F79" s="31"/>
      <c r="G79" s="31"/>
      <c r="H79" s="31"/>
      <c r="I79" s="31"/>
      <c r="J79" s="32" t="str">
        <f t="shared" si="0"/>
        <v/>
      </c>
      <c r="K79" s="33" t="str">
        <f t="shared" si="1"/>
        <v/>
      </c>
      <c r="L79" s="34">
        <v>14</v>
      </c>
      <c r="M79" s="34"/>
      <c r="N79" s="34"/>
      <c r="O79" s="33" t="str">
        <f t="shared" si="2"/>
        <v/>
      </c>
      <c r="P79" s="9"/>
      <c r="Q79" s="9"/>
      <c r="R79" s="9"/>
      <c r="S79" s="9"/>
      <c r="T79" s="9"/>
    </row>
    <row r="80" spans="1:36" ht="13.5" customHeight="1" x14ac:dyDescent="0.25">
      <c r="A80" s="9"/>
      <c r="B80" s="35"/>
      <c r="C80" s="29"/>
      <c r="D80" s="36"/>
      <c r="E80" s="37"/>
      <c r="F80" s="37"/>
      <c r="G80" s="37"/>
      <c r="H80" s="37"/>
      <c r="I80" s="37"/>
      <c r="J80" s="32"/>
      <c r="K80" s="33"/>
      <c r="L80" s="34"/>
      <c r="M80" s="34"/>
      <c r="N80" s="34"/>
      <c r="O80" s="33"/>
      <c r="P80" s="9"/>
      <c r="Q80" s="9"/>
      <c r="R80" s="9"/>
      <c r="S80" s="9"/>
      <c r="T80" s="9"/>
    </row>
    <row r="81" spans="1:20" ht="13.5" customHeight="1" x14ac:dyDescent="0.25">
      <c r="A81" s="9"/>
      <c r="B81" s="28"/>
      <c r="C81" s="29"/>
      <c r="D81" s="30"/>
      <c r="E81" s="34"/>
      <c r="F81" s="34"/>
      <c r="G81" s="34"/>
      <c r="H81" s="34"/>
      <c r="I81" s="34"/>
      <c r="J81" s="32"/>
      <c r="K81" s="33"/>
      <c r="L81" s="34"/>
      <c r="M81" s="34"/>
      <c r="N81" s="34"/>
      <c r="O81" s="33"/>
      <c r="P81" s="9"/>
      <c r="Q81" s="9"/>
      <c r="R81" s="9"/>
      <c r="S81" s="9"/>
      <c r="T81" s="9"/>
    </row>
    <row r="82" spans="1:20" ht="13.5" customHeight="1" x14ac:dyDescent="0.25">
      <c r="A82" s="9"/>
      <c r="B82" s="35"/>
      <c r="C82" s="29"/>
      <c r="D82" s="30"/>
      <c r="E82" s="34"/>
      <c r="F82" s="34"/>
      <c r="G82" s="34"/>
      <c r="H82" s="34"/>
      <c r="I82" s="34"/>
      <c r="J82" s="32"/>
      <c r="K82" s="33"/>
      <c r="L82" s="34"/>
      <c r="M82" s="34"/>
      <c r="N82" s="34"/>
      <c r="O82" s="33"/>
      <c r="P82" s="9"/>
      <c r="Q82" s="9"/>
      <c r="R82" s="9"/>
      <c r="S82" s="9"/>
      <c r="T82" s="9"/>
    </row>
    <row r="83" spans="1:20" ht="13.5" customHeight="1" x14ac:dyDescent="0.25">
      <c r="A83" s="9"/>
      <c r="B83" s="28"/>
      <c r="C83" s="29"/>
      <c r="D83" s="36"/>
      <c r="E83" s="37"/>
      <c r="F83" s="37"/>
      <c r="G83" s="37"/>
      <c r="H83" s="37"/>
      <c r="I83" s="37"/>
      <c r="J83" s="32"/>
      <c r="K83" s="33"/>
      <c r="L83" s="34"/>
      <c r="M83" s="34"/>
      <c r="N83" s="34"/>
      <c r="O83" s="33"/>
      <c r="P83" s="9"/>
      <c r="Q83" s="9"/>
      <c r="R83" s="9"/>
      <c r="S83" s="9"/>
      <c r="T83" s="9"/>
    </row>
    <row r="84" spans="1:20" ht="13.5" customHeight="1" x14ac:dyDescent="0.25">
      <c r="A84" s="9"/>
      <c r="B84" s="35"/>
      <c r="C84" s="29"/>
      <c r="D84" s="38"/>
      <c r="E84" s="34"/>
      <c r="F84" s="34"/>
      <c r="G84" s="34"/>
      <c r="H84" s="34"/>
      <c r="I84" s="34"/>
      <c r="J84" s="32"/>
      <c r="K84" s="33"/>
      <c r="L84" s="34"/>
      <c r="M84" s="34"/>
      <c r="N84" s="34"/>
      <c r="O84" s="33"/>
      <c r="P84" s="9"/>
      <c r="Q84" s="9"/>
      <c r="R84" s="9"/>
      <c r="S84" s="9"/>
      <c r="T84" s="9"/>
    </row>
    <row r="85" spans="1:20" ht="13.5" customHeight="1" x14ac:dyDescent="0.25">
      <c r="A85" s="9"/>
      <c r="B85" s="35"/>
      <c r="C85" s="29"/>
      <c r="D85" s="36"/>
      <c r="E85" s="37"/>
      <c r="F85" s="37"/>
      <c r="G85" s="37"/>
      <c r="H85" s="37"/>
      <c r="I85" s="37"/>
      <c r="J85" s="32"/>
      <c r="K85" s="33"/>
      <c r="L85" s="34"/>
      <c r="M85" s="34"/>
      <c r="N85" s="34"/>
      <c r="O85" s="33"/>
      <c r="P85" s="9"/>
      <c r="Q85" s="9"/>
      <c r="R85" s="9"/>
      <c r="S85" s="9"/>
      <c r="T85" s="9"/>
    </row>
    <row r="86" spans="1:20" ht="13.5" customHeight="1" x14ac:dyDescent="0.25">
      <c r="A86" s="9"/>
      <c r="B86" s="28"/>
      <c r="C86" s="29"/>
      <c r="D86" s="36"/>
      <c r="E86" s="37"/>
      <c r="F86" s="37"/>
      <c r="G86" s="37"/>
      <c r="H86" s="37"/>
      <c r="I86" s="37"/>
      <c r="J86" s="32"/>
      <c r="K86" s="33"/>
      <c r="L86" s="34"/>
      <c r="M86" s="34"/>
      <c r="N86" s="34"/>
      <c r="O86" s="33"/>
      <c r="P86" s="9"/>
      <c r="Q86" s="9"/>
      <c r="R86" s="9"/>
      <c r="S86" s="9"/>
      <c r="T86" s="9"/>
    </row>
    <row r="87" spans="1:20" ht="13.5" customHeight="1" x14ac:dyDescent="0.25">
      <c r="A87" s="9"/>
      <c r="B87" s="28"/>
      <c r="C87" s="29"/>
      <c r="D87" s="30"/>
      <c r="E87" s="34"/>
      <c r="F87" s="34"/>
      <c r="G87" s="34"/>
      <c r="H87" s="34"/>
      <c r="I87" s="34"/>
      <c r="J87" s="32"/>
      <c r="K87" s="33"/>
      <c r="L87" s="34"/>
      <c r="M87" s="34"/>
      <c r="N87" s="34"/>
      <c r="O87" s="33"/>
      <c r="P87" s="9"/>
      <c r="Q87" s="9"/>
      <c r="R87" s="9"/>
      <c r="S87" s="9"/>
      <c r="T87" s="9"/>
    </row>
    <row r="88" spans="1:20" ht="13.5" customHeight="1" x14ac:dyDescent="0.25">
      <c r="A88" s="9"/>
      <c r="B88" s="35"/>
      <c r="C88" s="29"/>
      <c r="D88" s="36"/>
      <c r="E88" s="37"/>
      <c r="F88" s="37"/>
      <c r="G88" s="37"/>
      <c r="H88" s="37"/>
      <c r="I88" s="37"/>
      <c r="J88" s="32"/>
      <c r="K88" s="33"/>
      <c r="L88" s="34"/>
      <c r="M88" s="34"/>
      <c r="N88" s="34"/>
      <c r="O88" s="33"/>
      <c r="P88" s="9"/>
      <c r="Q88" s="9"/>
      <c r="R88" s="9"/>
      <c r="S88" s="9"/>
      <c r="T88" s="9"/>
    </row>
    <row r="89" spans="1:20" ht="13.5" customHeight="1" x14ac:dyDescent="0.25">
      <c r="A89" s="9"/>
      <c r="B89" s="28"/>
      <c r="C89" s="29"/>
      <c r="D89" s="36"/>
      <c r="E89" s="37"/>
      <c r="F89" s="37"/>
      <c r="G89" s="37"/>
      <c r="H89" s="37"/>
      <c r="I89" s="37"/>
      <c r="J89" s="32"/>
      <c r="K89" s="33"/>
      <c r="L89" s="34"/>
      <c r="M89" s="34"/>
      <c r="N89" s="34"/>
      <c r="O89" s="33"/>
      <c r="P89" s="9"/>
      <c r="Q89" s="9"/>
      <c r="R89" s="9"/>
      <c r="S89" s="9"/>
      <c r="T89" s="9"/>
    </row>
    <row r="90" spans="1:20" ht="13.5" customHeight="1" x14ac:dyDescent="0.25">
      <c r="A90" s="9"/>
      <c r="B90" s="28"/>
      <c r="C90" s="29"/>
      <c r="D90" s="36"/>
      <c r="E90" s="37"/>
      <c r="F90" s="37"/>
      <c r="G90" s="37"/>
      <c r="H90" s="37"/>
      <c r="I90" s="37"/>
      <c r="J90" s="32"/>
      <c r="K90" s="33"/>
      <c r="L90" s="34"/>
      <c r="M90" s="34"/>
      <c r="N90" s="34"/>
      <c r="O90" s="33"/>
      <c r="P90" s="9"/>
      <c r="Q90" s="9"/>
      <c r="R90" s="9"/>
      <c r="S90" s="9"/>
      <c r="T90" s="9"/>
    </row>
    <row r="91" spans="1:20" ht="13.5" customHeight="1" x14ac:dyDescent="0.25">
      <c r="A91" s="9"/>
      <c r="B91" s="28"/>
      <c r="C91" s="29"/>
      <c r="D91" s="36"/>
      <c r="E91" s="37"/>
      <c r="F91" s="37"/>
      <c r="G91" s="37"/>
      <c r="H91" s="37"/>
      <c r="I91" s="37"/>
      <c r="J91" s="32"/>
      <c r="K91" s="33"/>
      <c r="L91" s="34"/>
      <c r="M91" s="34"/>
      <c r="N91" s="34"/>
      <c r="O91" s="33"/>
      <c r="P91" s="9"/>
      <c r="Q91" s="9"/>
      <c r="R91" s="9"/>
      <c r="S91" s="9"/>
      <c r="T91" s="9"/>
    </row>
    <row r="92" spans="1:20" ht="13.5" customHeight="1" x14ac:dyDescent="0.25">
      <c r="A92" s="9"/>
      <c r="B92" s="35"/>
      <c r="C92" s="29"/>
      <c r="D92" s="30"/>
      <c r="E92" s="34"/>
      <c r="F92" s="34"/>
      <c r="G92" s="34"/>
      <c r="H92" s="34"/>
      <c r="I92" s="34"/>
      <c r="J92" s="32"/>
      <c r="K92" s="33"/>
      <c r="L92" s="34"/>
      <c r="M92" s="34"/>
      <c r="N92" s="34"/>
      <c r="O92" s="33"/>
      <c r="P92" s="9"/>
      <c r="Q92" s="9"/>
      <c r="R92" s="9"/>
      <c r="S92" s="9"/>
      <c r="T92" s="9"/>
    </row>
    <row r="93" spans="1:20" ht="13.5" customHeight="1" x14ac:dyDescent="0.25">
      <c r="A93" s="9"/>
      <c r="B93" s="28"/>
      <c r="C93" s="29"/>
      <c r="D93" s="30"/>
      <c r="E93" s="34"/>
      <c r="F93" s="34"/>
      <c r="G93" s="34"/>
      <c r="H93" s="34"/>
      <c r="I93" s="34"/>
      <c r="J93" s="32"/>
      <c r="K93" s="33"/>
      <c r="L93" s="34"/>
      <c r="M93" s="34"/>
      <c r="N93" s="34"/>
      <c r="O93" s="33"/>
      <c r="P93" s="9"/>
      <c r="Q93" s="9"/>
      <c r="R93" s="9"/>
      <c r="S93" s="9"/>
      <c r="T93" s="9"/>
    </row>
    <row r="94" spans="1:20" ht="13.5" customHeight="1" x14ac:dyDescent="0.25">
      <c r="A94" s="9"/>
      <c r="B94" s="35"/>
      <c r="C94" s="29"/>
      <c r="D94" s="30"/>
      <c r="E94" s="34"/>
      <c r="F94" s="34"/>
      <c r="G94" s="34"/>
      <c r="H94" s="34"/>
      <c r="I94" s="34"/>
      <c r="J94" s="32"/>
      <c r="K94" s="33"/>
      <c r="L94" s="34"/>
      <c r="M94" s="34"/>
      <c r="N94" s="34"/>
      <c r="O94" s="33"/>
      <c r="P94" s="9"/>
      <c r="Q94" s="9"/>
      <c r="R94" s="9"/>
      <c r="S94" s="9"/>
      <c r="T94" s="9"/>
    </row>
    <row r="95" spans="1:20" ht="13.5" customHeight="1" x14ac:dyDescent="0.25">
      <c r="A95" s="9"/>
      <c r="B95" s="35"/>
      <c r="C95" s="29"/>
      <c r="D95" s="30"/>
      <c r="E95" s="31"/>
      <c r="F95" s="31"/>
      <c r="G95" s="31"/>
      <c r="H95" s="31"/>
      <c r="I95" s="31"/>
      <c r="J95" s="32"/>
      <c r="K95" s="33"/>
      <c r="L95" s="34"/>
      <c r="M95" s="34"/>
      <c r="N95" s="34"/>
      <c r="O95" s="33"/>
      <c r="P95" s="9"/>
      <c r="Q95" s="9"/>
      <c r="R95" s="9"/>
      <c r="S95" s="9"/>
      <c r="T95" s="9"/>
    </row>
    <row r="96" spans="1:20" ht="13.5" customHeight="1" x14ac:dyDescent="0.25">
      <c r="A96" s="9"/>
      <c r="B96" s="35"/>
      <c r="C96" s="29"/>
      <c r="D96" s="30"/>
      <c r="E96" s="34"/>
      <c r="F96" s="34"/>
      <c r="G96" s="34"/>
      <c r="H96" s="34"/>
      <c r="I96" s="34"/>
      <c r="J96" s="32"/>
      <c r="K96" s="33"/>
      <c r="L96" s="34"/>
      <c r="M96" s="34"/>
      <c r="N96" s="34"/>
      <c r="O96" s="33"/>
      <c r="P96" s="9"/>
      <c r="Q96" s="9"/>
      <c r="R96" s="9"/>
      <c r="S96" s="9"/>
      <c r="T96" s="9"/>
    </row>
    <row r="97" spans="1:20" ht="13.5" customHeight="1" x14ac:dyDescent="0.25">
      <c r="A97" s="9"/>
      <c r="B97" s="28"/>
      <c r="C97" s="29"/>
      <c r="D97" s="36"/>
      <c r="E97" s="37"/>
      <c r="F97" s="37"/>
      <c r="G97" s="37"/>
      <c r="H97" s="37"/>
      <c r="I97" s="37"/>
      <c r="J97" s="32"/>
      <c r="K97" s="33"/>
      <c r="L97" s="34"/>
      <c r="M97" s="34"/>
      <c r="N97" s="34"/>
      <c r="O97" s="33"/>
      <c r="P97" s="9"/>
      <c r="Q97" s="9"/>
      <c r="R97" s="9"/>
      <c r="S97" s="9"/>
      <c r="T97" s="9"/>
    </row>
    <row r="98" spans="1:20" ht="13.5" customHeight="1" x14ac:dyDescent="0.25">
      <c r="A98" s="9"/>
      <c r="B98" s="35"/>
      <c r="C98" s="29"/>
      <c r="D98" s="36"/>
      <c r="E98" s="39"/>
      <c r="F98" s="39"/>
      <c r="G98" s="39"/>
      <c r="H98" s="39"/>
      <c r="I98" s="39"/>
      <c r="J98" s="32"/>
      <c r="K98" s="33"/>
      <c r="L98" s="34"/>
      <c r="M98" s="34"/>
      <c r="N98" s="34"/>
      <c r="O98" s="33"/>
      <c r="P98" s="9"/>
      <c r="Q98" s="9"/>
      <c r="R98" s="9"/>
      <c r="S98" s="9"/>
      <c r="T98" s="9"/>
    </row>
    <row r="99" spans="1:20" ht="13.5" customHeight="1" x14ac:dyDescent="0.25">
      <c r="A99" s="9"/>
      <c r="B99" s="28"/>
      <c r="C99" s="29"/>
      <c r="D99" s="36"/>
      <c r="E99" s="39"/>
      <c r="F99" s="39"/>
      <c r="G99" s="39"/>
      <c r="H99" s="39"/>
      <c r="I99" s="39"/>
      <c r="J99" s="32"/>
      <c r="K99" s="33"/>
      <c r="L99" s="34"/>
      <c r="M99" s="34"/>
      <c r="N99" s="34"/>
      <c r="O99" s="33"/>
      <c r="P99" s="9"/>
      <c r="Q99" s="9"/>
      <c r="R99" s="9"/>
      <c r="S99" s="9"/>
      <c r="T99" s="9"/>
    </row>
    <row r="100" spans="1:20" ht="13.5" customHeight="1" x14ac:dyDescent="0.25">
      <c r="A100" s="9"/>
      <c r="B100" s="35"/>
      <c r="C100" s="29"/>
      <c r="D100" s="36"/>
      <c r="E100" s="39"/>
      <c r="F100" s="39"/>
      <c r="G100" s="39"/>
      <c r="H100" s="39"/>
      <c r="I100" s="39"/>
      <c r="J100" s="32"/>
      <c r="K100" s="33"/>
      <c r="L100" s="34"/>
      <c r="M100" s="34"/>
      <c r="N100" s="34"/>
      <c r="O100" s="33"/>
      <c r="P100" s="9"/>
      <c r="Q100" s="9"/>
      <c r="R100" s="9"/>
      <c r="S100" s="9"/>
      <c r="T100" s="9"/>
    </row>
    <row r="101" spans="1:20" ht="13.5" customHeight="1" x14ac:dyDescent="0.25">
      <c r="A101" s="9"/>
      <c r="B101" s="28"/>
      <c r="C101" s="29"/>
      <c r="D101" s="36"/>
      <c r="E101" s="39"/>
      <c r="F101" s="39"/>
      <c r="G101" s="39"/>
      <c r="H101" s="39"/>
      <c r="I101" s="39"/>
      <c r="J101" s="32"/>
      <c r="K101" s="33"/>
      <c r="L101" s="34"/>
      <c r="M101" s="34"/>
      <c r="N101" s="34"/>
      <c r="O101" s="33"/>
      <c r="P101" s="9"/>
      <c r="Q101" s="9"/>
      <c r="R101" s="9"/>
      <c r="S101" s="9"/>
      <c r="T101" s="9"/>
    </row>
    <row r="102" spans="1:20" ht="13.5" customHeight="1" x14ac:dyDescent="0.25">
      <c r="A102" s="9"/>
      <c r="B102" s="35"/>
      <c r="C102" s="29"/>
      <c r="D102" s="36"/>
      <c r="E102" s="39"/>
      <c r="F102" s="39"/>
      <c r="G102" s="39"/>
      <c r="H102" s="39"/>
      <c r="I102" s="39"/>
      <c r="J102" s="32"/>
      <c r="K102" s="33"/>
      <c r="L102" s="34"/>
      <c r="M102" s="34"/>
      <c r="N102" s="34"/>
      <c r="O102" s="33"/>
      <c r="P102" s="9"/>
      <c r="Q102" s="9"/>
      <c r="R102" s="9"/>
      <c r="S102" s="9"/>
      <c r="T102" s="9"/>
    </row>
    <row r="103" spans="1:20" ht="13.5" customHeight="1" x14ac:dyDescent="0.25">
      <c r="A103" s="9"/>
      <c r="P103" s="9"/>
      <c r="Q103" s="9"/>
      <c r="R103" s="9"/>
      <c r="S103" s="9"/>
      <c r="T103" s="9"/>
    </row>
    <row r="104" spans="1:20" ht="13.5" customHeight="1" x14ac:dyDescent="0.25">
      <c r="A104" s="9"/>
      <c r="B104" s="28"/>
      <c r="C104" s="29"/>
      <c r="D104" s="36"/>
      <c r="E104" s="39"/>
      <c r="F104" s="39"/>
      <c r="G104" s="39"/>
      <c r="H104" s="39"/>
      <c r="I104" s="39"/>
      <c r="J104" s="32"/>
      <c r="K104" s="33"/>
      <c r="L104" s="34"/>
      <c r="M104" s="34"/>
      <c r="N104" s="34"/>
      <c r="O104" s="33"/>
      <c r="P104" s="9"/>
      <c r="Q104" s="9"/>
      <c r="R104" s="9"/>
      <c r="S104" s="9"/>
      <c r="T104" s="9"/>
    </row>
    <row r="105" spans="1:20" ht="13.5" customHeight="1" x14ac:dyDescent="0.25">
      <c r="A105" s="9"/>
      <c r="B105" s="35"/>
      <c r="C105" s="29"/>
      <c r="D105" s="36"/>
      <c r="E105" s="39"/>
      <c r="F105" s="39"/>
      <c r="G105" s="39"/>
      <c r="H105" s="39"/>
      <c r="I105" s="39"/>
      <c r="J105" s="32"/>
      <c r="K105" s="33"/>
      <c r="L105" s="34"/>
      <c r="M105" s="34"/>
      <c r="N105" s="34"/>
      <c r="O105" s="33"/>
      <c r="P105" s="9"/>
      <c r="Q105" s="9"/>
      <c r="R105" s="9"/>
      <c r="S105" s="9"/>
      <c r="T105" s="9"/>
    </row>
    <row r="106" spans="1:20" ht="13.5" customHeight="1" x14ac:dyDescent="0.25">
      <c r="A106" s="9"/>
      <c r="B106" s="28"/>
      <c r="C106" s="29"/>
      <c r="D106" s="36"/>
      <c r="E106" s="39"/>
      <c r="F106" s="39"/>
      <c r="G106" s="39"/>
      <c r="H106" s="39"/>
      <c r="I106" s="39"/>
      <c r="J106" s="32"/>
      <c r="K106" s="33"/>
      <c r="L106" s="34"/>
      <c r="M106" s="34"/>
      <c r="N106" s="34"/>
      <c r="O106" s="33"/>
      <c r="P106" s="9"/>
      <c r="Q106" s="9"/>
      <c r="R106" s="9"/>
      <c r="S106" s="9"/>
      <c r="T106" s="9"/>
    </row>
    <row r="107" spans="1:20" ht="13.5" customHeight="1" x14ac:dyDescent="0.25">
      <c r="A107" s="9"/>
      <c r="B107" s="35"/>
      <c r="C107" s="29"/>
      <c r="D107" s="36"/>
      <c r="E107" s="39"/>
      <c r="F107" s="39"/>
      <c r="G107" s="39"/>
      <c r="H107" s="39"/>
      <c r="I107" s="39"/>
      <c r="J107" s="32"/>
      <c r="K107" s="33"/>
      <c r="L107" s="34"/>
      <c r="M107" s="34"/>
      <c r="N107" s="34"/>
      <c r="O107" s="33"/>
      <c r="P107" s="9"/>
      <c r="Q107" s="9"/>
      <c r="R107" s="9"/>
      <c r="S107" s="9"/>
      <c r="T107" s="9"/>
    </row>
    <row r="108" spans="1:20" ht="13.5" customHeight="1" x14ac:dyDescent="0.25">
      <c r="A108" s="9"/>
      <c r="B108" s="28"/>
      <c r="C108" s="29"/>
      <c r="D108" s="36"/>
      <c r="E108" s="39"/>
      <c r="F108" s="39"/>
      <c r="G108" s="39"/>
      <c r="H108" s="39"/>
      <c r="I108" s="39"/>
      <c r="J108" s="32"/>
      <c r="K108" s="33"/>
      <c r="L108" s="34"/>
      <c r="M108" s="34"/>
      <c r="N108" s="34"/>
      <c r="O108" s="33"/>
      <c r="P108" s="9"/>
      <c r="Q108" s="9"/>
      <c r="R108" s="9"/>
      <c r="S108" s="9"/>
      <c r="T108" s="9"/>
    </row>
    <row r="109" spans="1:20" ht="13.5" customHeight="1" x14ac:dyDescent="0.25">
      <c r="A109" s="9"/>
      <c r="B109" s="35"/>
      <c r="C109" s="29"/>
      <c r="D109" s="36"/>
      <c r="E109" s="39"/>
      <c r="F109" s="39"/>
      <c r="G109" s="39"/>
      <c r="H109" s="39"/>
      <c r="I109" s="39"/>
      <c r="J109" s="32"/>
      <c r="K109" s="33"/>
      <c r="L109" s="34"/>
      <c r="M109" s="34"/>
      <c r="N109" s="34"/>
      <c r="O109" s="33"/>
      <c r="P109" s="9"/>
      <c r="Q109" s="9"/>
      <c r="R109" s="9"/>
      <c r="S109" s="9"/>
      <c r="T109" s="9"/>
    </row>
    <row r="110" spans="1:20" ht="13.5" customHeight="1" x14ac:dyDescent="0.25">
      <c r="A110" s="9"/>
      <c r="B110" s="28"/>
      <c r="C110" s="29"/>
      <c r="D110" s="36"/>
      <c r="E110" s="39"/>
      <c r="F110" s="39"/>
      <c r="G110" s="39"/>
      <c r="H110" s="39"/>
      <c r="I110" s="39"/>
      <c r="J110" s="32"/>
      <c r="K110" s="33"/>
      <c r="L110" s="34"/>
      <c r="M110" s="34"/>
      <c r="N110" s="34"/>
      <c r="O110" s="33"/>
      <c r="P110" s="9"/>
      <c r="Q110" s="9"/>
      <c r="R110" s="9"/>
      <c r="S110" s="9"/>
      <c r="T110" s="9"/>
    </row>
    <row r="111" spans="1:20" ht="13.5" customHeight="1" x14ac:dyDescent="0.25">
      <c r="A111" s="9"/>
      <c r="B111" s="35"/>
      <c r="C111" s="29"/>
      <c r="D111" s="36"/>
      <c r="E111" s="39"/>
      <c r="F111" s="39"/>
      <c r="G111" s="39"/>
      <c r="H111" s="39"/>
      <c r="I111" s="39"/>
      <c r="J111" s="32"/>
      <c r="K111" s="33"/>
      <c r="L111" s="34"/>
      <c r="M111" s="34"/>
      <c r="N111" s="34"/>
      <c r="O111" s="33"/>
      <c r="P111" s="9"/>
      <c r="Q111" s="9"/>
      <c r="R111" s="9"/>
      <c r="S111" s="9"/>
      <c r="T111" s="9"/>
    </row>
    <row r="112" spans="1:20" ht="13.5" customHeight="1" x14ac:dyDescent="0.25">
      <c r="A112" s="9"/>
      <c r="B112" s="28"/>
      <c r="C112" s="29"/>
      <c r="E112" s="39"/>
      <c r="F112" s="39"/>
      <c r="G112" s="39"/>
      <c r="H112" s="39"/>
      <c r="I112" s="39"/>
      <c r="J112" s="32"/>
      <c r="K112" s="33"/>
      <c r="L112" s="34"/>
      <c r="M112" s="34"/>
      <c r="N112" s="34"/>
      <c r="O112" s="33"/>
      <c r="P112" s="9"/>
      <c r="Q112" s="9"/>
      <c r="R112" s="9"/>
      <c r="S112" s="9"/>
      <c r="T112" s="9"/>
    </row>
    <row r="113" spans="1:20" ht="13.5" customHeight="1" x14ac:dyDescent="0.25">
      <c r="A113" s="9"/>
      <c r="B113" s="28"/>
      <c r="C113" s="29"/>
      <c r="E113" s="39"/>
      <c r="F113" s="39"/>
      <c r="G113" s="39"/>
      <c r="H113" s="39"/>
      <c r="I113" s="39"/>
      <c r="J113" s="32"/>
      <c r="K113" s="33"/>
      <c r="L113" s="34"/>
      <c r="M113" s="34"/>
      <c r="N113" s="34"/>
      <c r="O113" s="33"/>
      <c r="P113" s="9"/>
      <c r="Q113" s="9"/>
      <c r="R113" s="9"/>
      <c r="S113" s="9"/>
      <c r="T113" s="9"/>
    </row>
    <row r="114" spans="1:20" ht="13.5" customHeight="1" x14ac:dyDescent="0.25">
      <c r="A114" s="9"/>
      <c r="B114" s="28"/>
      <c r="C114" s="29"/>
      <c r="E114" s="39"/>
      <c r="F114" s="39"/>
      <c r="G114" s="39"/>
      <c r="H114" s="39"/>
      <c r="I114" s="39"/>
      <c r="J114" s="32"/>
      <c r="K114" s="33"/>
      <c r="L114" s="34"/>
      <c r="M114" s="34"/>
      <c r="N114" s="34"/>
      <c r="O114" s="33"/>
      <c r="P114" s="9"/>
      <c r="Q114" s="9"/>
      <c r="R114" s="9"/>
      <c r="S114" s="9"/>
      <c r="T114" s="9"/>
    </row>
    <row r="115" spans="1:20" ht="13.5" customHeight="1" x14ac:dyDescent="0.25">
      <c r="A115" s="9"/>
      <c r="B115" s="28"/>
      <c r="C115" s="29"/>
      <c r="E115" s="39"/>
      <c r="F115" s="39"/>
      <c r="G115" s="39"/>
      <c r="H115" s="39"/>
      <c r="I115" s="39"/>
      <c r="J115" s="32"/>
      <c r="K115" s="33"/>
      <c r="L115" s="34"/>
      <c r="M115" s="34"/>
      <c r="N115" s="34"/>
      <c r="O115" s="33"/>
      <c r="P115" s="9"/>
      <c r="Q115" s="9"/>
      <c r="R115" s="9"/>
      <c r="S115" s="9"/>
      <c r="T115" s="9"/>
    </row>
    <row r="116" spans="1:20" ht="13.5" customHeight="1" x14ac:dyDescent="0.25">
      <c r="A116" s="9"/>
      <c r="B116" s="28"/>
      <c r="C116" s="29"/>
      <c r="E116" s="39"/>
      <c r="F116" s="39"/>
      <c r="G116" s="39"/>
      <c r="H116" s="39"/>
      <c r="I116" s="39"/>
      <c r="J116" s="32"/>
      <c r="K116" s="33"/>
      <c r="L116" s="34"/>
      <c r="M116" s="34"/>
      <c r="N116" s="34"/>
      <c r="O116" s="33"/>
      <c r="P116" s="9"/>
      <c r="Q116" s="9"/>
      <c r="R116" s="9"/>
      <c r="S116" s="9"/>
      <c r="T116" s="9"/>
    </row>
    <row r="117" spans="1:20" ht="13.5" customHeight="1" x14ac:dyDescent="0.25">
      <c r="A117" s="9"/>
      <c r="B117" s="28"/>
      <c r="C117" s="29"/>
      <c r="E117" s="39"/>
      <c r="F117" s="39"/>
      <c r="G117" s="39"/>
      <c r="H117" s="39"/>
      <c r="I117" s="39"/>
      <c r="J117" s="32"/>
      <c r="K117" s="33"/>
      <c r="L117" s="34"/>
      <c r="M117" s="34"/>
      <c r="N117" s="34"/>
      <c r="O117" s="33"/>
      <c r="P117" s="9"/>
      <c r="Q117" s="9"/>
      <c r="R117" s="9"/>
      <c r="S117" s="9"/>
      <c r="T117" s="9"/>
    </row>
    <row r="118" spans="1:20" ht="13.5" customHeight="1" x14ac:dyDescent="0.25">
      <c r="A118" s="9"/>
      <c r="B118" s="28"/>
      <c r="C118" s="29"/>
      <c r="E118" s="39"/>
      <c r="F118" s="39"/>
      <c r="G118" s="39"/>
      <c r="H118" s="39"/>
      <c r="I118" s="39"/>
      <c r="J118" s="32"/>
      <c r="K118" s="33"/>
      <c r="L118" s="34"/>
      <c r="M118" s="34"/>
      <c r="N118" s="34"/>
      <c r="O118" s="33"/>
      <c r="P118" s="9"/>
      <c r="Q118" s="9"/>
      <c r="R118" s="9"/>
      <c r="S118" s="9"/>
      <c r="T118" s="9"/>
    </row>
    <row r="119" spans="1:20" ht="13.5" customHeight="1" x14ac:dyDescent="0.25">
      <c r="A119" s="9"/>
      <c r="B119" s="28"/>
      <c r="C119" s="29"/>
      <c r="E119" s="39"/>
      <c r="F119" s="39"/>
      <c r="G119" s="39"/>
      <c r="H119" s="39"/>
      <c r="I119" s="39"/>
      <c r="J119" s="32"/>
      <c r="K119" s="33"/>
      <c r="L119" s="34"/>
      <c r="M119" s="34"/>
      <c r="N119" s="34"/>
      <c r="O119" s="33"/>
      <c r="P119" s="9"/>
      <c r="Q119" s="9"/>
      <c r="R119" s="9"/>
      <c r="S119" s="9"/>
      <c r="T119" s="9"/>
    </row>
    <row r="120" spans="1:20" ht="13.5" customHeight="1" x14ac:dyDescent="0.25">
      <c r="A120" s="9"/>
      <c r="P120" s="9"/>
      <c r="Q120" s="9"/>
      <c r="R120" s="9"/>
      <c r="S120" s="9"/>
      <c r="T120" s="9"/>
    </row>
    <row r="121" spans="1:20" ht="13.5" customHeight="1" x14ac:dyDescent="0.25">
      <c r="A121" s="9"/>
      <c r="B121" s="28"/>
      <c r="C121" s="29"/>
      <c r="E121" s="39"/>
      <c r="F121" s="39"/>
      <c r="G121" s="39"/>
      <c r="H121" s="39"/>
      <c r="I121" s="39"/>
      <c r="J121" s="32"/>
      <c r="K121" s="33"/>
      <c r="L121" s="34"/>
      <c r="M121" s="34"/>
      <c r="N121" s="34"/>
      <c r="O121" s="33"/>
      <c r="P121" s="9"/>
      <c r="Q121" s="9"/>
      <c r="R121" s="9"/>
      <c r="S121" s="9"/>
      <c r="T121" s="9"/>
    </row>
    <row r="122" spans="1:20" ht="13.5" customHeight="1" x14ac:dyDescent="0.25">
      <c r="A122" s="9"/>
      <c r="B122" s="28"/>
      <c r="C122" s="29"/>
      <c r="E122" s="39"/>
      <c r="F122" s="39"/>
      <c r="G122" s="39"/>
      <c r="H122" s="39"/>
      <c r="I122" s="39"/>
      <c r="J122" s="32"/>
      <c r="K122" s="33"/>
      <c r="L122" s="34"/>
      <c r="M122" s="34"/>
      <c r="N122" s="34"/>
      <c r="O122" s="33"/>
      <c r="P122" s="9"/>
      <c r="Q122" s="9"/>
      <c r="R122" s="9"/>
      <c r="S122" s="9"/>
      <c r="T122" s="9"/>
    </row>
    <row r="123" spans="1:20" ht="13.5" customHeight="1" x14ac:dyDescent="0.25">
      <c r="A123" s="9"/>
      <c r="B123" s="28"/>
      <c r="C123" s="29"/>
      <c r="E123" s="39"/>
      <c r="F123" s="39"/>
      <c r="G123" s="39"/>
      <c r="H123" s="39"/>
      <c r="I123" s="39"/>
      <c r="J123" s="32"/>
      <c r="K123" s="33"/>
      <c r="L123" s="34"/>
      <c r="M123" s="34"/>
      <c r="N123" s="34"/>
      <c r="O123" s="33"/>
      <c r="P123" s="9"/>
      <c r="Q123" s="9"/>
      <c r="R123" s="9"/>
      <c r="S123" s="9"/>
      <c r="T123" s="9"/>
    </row>
    <row r="124" spans="1:20" ht="13.5" customHeight="1" x14ac:dyDescent="0.25">
      <c r="A124" s="9"/>
      <c r="B124" s="28"/>
      <c r="C124" s="29"/>
      <c r="E124" s="39"/>
      <c r="F124" s="39"/>
      <c r="G124" s="39"/>
      <c r="H124" s="39"/>
      <c r="I124" s="39"/>
      <c r="L124" s="39"/>
      <c r="M124" s="39"/>
      <c r="N124" s="39"/>
      <c r="P124" s="9"/>
      <c r="Q124" s="9"/>
      <c r="R124" s="9"/>
      <c r="S124" s="9"/>
      <c r="T124" s="9"/>
    </row>
    <row r="125" spans="1:20" ht="13.5" customHeight="1" x14ac:dyDescent="0.25">
      <c r="A125" s="9"/>
      <c r="C125" s="29"/>
      <c r="E125" s="39"/>
      <c r="F125" s="39"/>
      <c r="G125" s="39"/>
      <c r="H125" s="39"/>
      <c r="I125" s="39"/>
      <c r="L125" s="39"/>
      <c r="M125" s="39"/>
      <c r="N125" s="39"/>
      <c r="P125" s="9"/>
      <c r="Q125" s="9"/>
      <c r="R125" s="9"/>
      <c r="S125" s="9"/>
      <c r="T125" s="9"/>
    </row>
    <row r="126" spans="1:20" ht="13.5" customHeight="1" x14ac:dyDescent="0.25">
      <c r="E126" s="39"/>
      <c r="F126" s="39"/>
      <c r="G126" s="39"/>
      <c r="H126" s="39"/>
      <c r="I126" s="39"/>
      <c r="L126" s="39"/>
      <c r="M126" s="39"/>
      <c r="N126" s="39"/>
    </row>
    <row r="127" spans="1:20" ht="13.5" customHeight="1" x14ac:dyDescent="0.25">
      <c r="B127" s="35"/>
      <c r="C127" s="29"/>
      <c r="D127" s="36"/>
      <c r="E127" s="37"/>
      <c r="F127" s="37"/>
      <c r="G127" s="37"/>
      <c r="H127" s="37"/>
      <c r="I127" s="37"/>
      <c r="J127" s="32"/>
      <c r="K127" s="33"/>
      <c r="L127" s="34"/>
      <c r="M127" s="34"/>
      <c r="N127" s="34"/>
      <c r="O127" s="33"/>
    </row>
    <row r="128" spans="1:20" ht="13.5" customHeight="1" x14ac:dyDescent="0.25">
      <c r="C128" s="29"/>
      <c r="E128" s="39"/>
      <c r="F128" s="39"/>
      <c r="G128" s="39"/>
      <c r="H128" s="39"/>
      <c r="I128" s="39"/>
      <c r="L128" s="39"/>
      <c r="M128" s="39"/>
      <c r="N128" s="39"/>
    </row>
    <row r="129" spans="2:15" ht="13.5" customHeight="1" x14ac:dyDescent="0.25">
      <c r="E129" s="39"/>
      <c r="F129" s="39"/>
      <c r="G129" s="39"/>
      <c r="H129" s="39"/>
      <c r="I129" s="39"/>
      <c r="L129" s="39"/>
      <c r="M129" s="39"/>
      <c r="N129" s="39"/>
    </row>
    <row r="130" spans="2:15" ht="13.5" customHeight="1" x14ac:dyDescent="0.25">
      <c r="B130" s="35"/>
      <c r="C130" s="29"/>
      <c r="D130" s="36"/>
      <c r="E130" s="37"/>
      <c r="F130" s="37"/>
      <c r="G130" s="37"/>
      <c r="H130" s="37"/>
      <c r="I130" s="37"/>
      <c r="J130" s="32"/>
      <c r="K130" s="33"/>
      <c r="L130" s="34"/>
      <c r="M130" s="34"/>
      <c r="N130" s="34"/>
      <c r="O130" s="33"/>
    </row>
    <row r="131" spans="2:15" ht="13.5" customHeight="1" x14ac:dyDescent="0.25">
      <c r="E131" s="39"/>
      <c r="F131" s="39"/>
      <c r="G131" s="39"/>
      <c r="H131" s="39"/>
      <c r="I131" s="39"/>
      <c r="L131" s="39"/>
      <c r="M131" s="39"/>
      <c r="N131" s="39"/>
    </row>
    <row r="132" spans="2:15" ht="13.5" customHeight="1" x14ac:dyDescent="0.25">
      <c r="E132" s="39"/>
      <c r="F132" s="39"/>
      <c r="G132" s="39"/>
      <c r="H132" s="39"/>
      <c r="I132" s="39"/>
      <c r="L132" s="39"/>
      <c r="M132" s="39"/>
      <c r="N132" s="39"/>
    </row>
    <row r="133" spans="2:15" ht="13.5" customHeight="1" x14ac:dyDescent="0.25">
      <c r="B133" s="4"/>
      <c r="C133" s="4"/>
      <c r="E133" s="39"/>
      <c r="F133" s="39"/>
      <c r="G133" s="39"/>
      <c r="H133" s="39"/>
      <c r="I133" s="39"/>
      <c r="J133" s="39"/>
      <c r="L133" s="39"/>
      <c r="M133" s="39"/>
      <c r="N133" s="39"/>
    </row>
    <row r="134" spans="2:15" ht="13.5" customHeight="1" x14ac:dyDescent="0.25">
      <c r="B134" s="4"/>
      <c r="C134" s="4"/>
      <c r="L134" s="39"/>
      <c r="M134" s="39"/>
      <c r="N134" s="39"/>
      <c r="O134" s="4"/>
    </row>
    <row r="135" spans="2:15" ht="13.5" customHeight="1" x14ac:dyDescent="0.25">
      <c r="B135" s="4"/>
      <c r="C135" s="4"/>
      <c r="L135" s="39"/>
      <c r="M135" s="39"/>
      <c r="N135" s="39"/>
      <c r="O135" s="4"/>
    </row>
    <row r="136" spans="2:15" ht="13.5" customHeight="1" x14ac:dyDescent="0.25"/>
    <row r="137" spans="2:15" ht="13.5" customHeight="1" x14ac:dyDescent="0.25"/>
    <row r="138" spans="2:15" ht="13.5" customHeight="1" x14ac:dyDescent="0.25"/>
    <row r="139" spans="2:15" ht="13.5" customHeight="1" x14ac:dyDescent="0.25"/>
    <row r="140" spans="2:15" ht="13.5" customHeight="1" x14ac:dyDescent="0.25"/>
    <row r="141" spans="2:15" ht="13.5" customHeight="1" x14ac:dyDescent="0.25"/>
    <row r="142" spans="2:15" ht="13.5" customHeight="1" x14ac:dyDescent="0.25"/>
    <row r="143" spans="2:15" ht="13.5" customHeight="1" x14ac:dyDescent="0.25"/>
    <row r="144" spans="2:15" ht="13.5" customHeight="1" x14ac:dyDescent="0.25"/>
    <row r="145" spans="2:15" ht="13.5" customHeight="1" x14ac:dyDescent="0.25"/>
    <row r="146" spans="2:15" ht="13.5" customHeight="1" x14ac:dyDescent="0.25"/>
    <row r="147" spans="2:15" ht="13.5" customHeight="1" x14ac:dyDescent="0.25"/>
    <row r="148" spans="2:15" ht="13.5" customHeight="1" x14ac:dyDescent="0.25"/>
    <row r="149" spans="2:15" ht="13.5" customHeight="1" x14ac:dyDescent="0.25"/>
    <row r="150" spans="2:15" ht="13.5" customHeight="1" x14ac:dyDescent="0.25">
      <c r="B150" s="28"/>
      <c r="C150" s="29"/>
      <c r="E150" s="39"/>
      <c r="F150" s="39"/>
      <c r="G150" s="39"/>
      <c r="H150" s="39"/>
      <c r="I150" s="39"/>
      <c r="J150" s="32"/>
      <c r="K150" s="33"/>
      <c r="L150" s="34"/>
      <c r="M150" s="34"/>
      <c r="N150" s="34"/>
      <c r="O150" s="33"/>
    </row>
    <row r="151" spans="2:15" ht="13.5" customHeight="1" x14ac:dyDescent="0.25"/>
    <row r="152" spans="2:15" ht="13.5" customHeight="1" x14ac:dyDescent="0.25"/>
    <row r="153" spans="2:15" ht="13.5" customHeight="1" x14ac:dyDescent="0.25"/>
    <row r="154" spans="2:15" ht="13.5" customHeight="1" x14ac:dyDescent="0.25"/>
    <row r="155" spans="2:15" ht="13.5" customHeight="1" x14ac:dyDescent="0.25"/>
    <row r="156" spans="2:15" ht="13.5" customHeight="1" x14ac:dyDescent="0.25"/>
    <row r="157" spans="2:15" ht="13.5" customHeight="1" x14ac:dyDescent="0.25"/>
    <row r="158" spans="2:15" ht="13.5" customHeight="1" x14ac:dyDescent="0.25"/>
    <row r="159" spans="2:15" ht="13.5" customHeight="1" x14ac:dyDescent="0.25"/>
    <row r="160" spans="2:15" ht="13.5" customHeight="1" x14ac:dyDescent="0.25"/>
    <row r="161" spans="2:15" ht="13.5" customHeight="1" x14ac:dyDescent="0.25">
      <c r="B161" s="35"/>
      <c r="C161" s="29"/>
      <c r="D161" s="30"/>
      <c r="E161" s="34"/>
      <c r="F161" s="34"/>
      <c r="G161" s="34"/>
      <c r="H161" s="34"/>
      <c r="I161" s="34"/>
      <c r="J161" s="32"/>
      <c r="K161" s="33"/>
      <c r="L161" s="34"/>
      <c r="M161" s="34"/>
      <c r="N161" s="34"/>
      <c r="O161" s="33"/>
    </row>
    <row r="162" spans="2:15" ht="13.5" customHeight="1" x14ac:dyDescent="0.25"/>
    <row r="163" spans="2:15" ht="13.5" customHeight="1" x14ac:dyDescent="0.25"/>
    <row r="164" spans="2:15" ht="13.5" customHeight="1" x14ac:dyDescent="0.25"/>
    <row r="165" spans="2:15" ht="13.5" customHeight="1" x14ac:dyDescent="0.25"/>
    <row r="166" spans="2:15" ht="13.5" customHeight="1" x14ac:dyDescent="0.25"/>
    <row r="167" spans="2:15" ht="13.5" customHeight="1" x14ac:dyDescent="0.25"/>
    <row r="168" spans="2:15" ht="13.5" customHeight="1" x14ac:dyDescent="0.25"/>
    <row r="169" spans="2:15" ht="13.5" customHeight="1" x14ac:dyDescent="0.25"/>
    <row r="170" spans="2:15" ht="13.5" customHeight="1" x14ac:dyDescent="0.25"/>
    <row r="171" spans="2:15" ht="13.5" customHeight="1" x14ac:dyDescent="0.25"/>
    <row r="172" spans="2:15" ht="13.5" customHeight="1" x14ac:dyDescent="0.25"/>
    <row r="173" spans="2:15" ht="13.5" customHeight="1" x14ac:dyDescent="0.25"/>
    <row r="174" spans="2:15" ht="13.5" customHeight="1" x14ac:dyDescent="0.25"/>
    <row r="175" spans="2:15" ht="13.5" customHeight="1" x14ac:dyDescent="0.25"/>
    <row r="176" spans="2:15" ht="13.5" customHeight="1" x14ac:dyDescent="0.25"/>
  </sheetData>
  <sheetProtection algorithmName="SHA-512" hashValue="WMW8/E0a90rlBQu4js20pynCB1HCo9wrpAk9wNSigbiyWGAeILZSFJdUIhG57yM6PGajDMU6GW0bWDbnev+ydA==" saltValue="qfL4VOVo4FOPiTdYHm9qKA==" spinCount="100000" sheet="1" objects="1" scenarios="1" selectLockedCells="1"/>
  <mergeCells count="15">
    <mergeCell ref="D10:K10"/>
    <mergeCell ref="B11:C11"/>
    <mergeCell ref="B13:D13"/>
    <mergeCell ref="E13:N13"/>
    <mergeCell ref="B14:D14"/>
    <mergeCell ref="E14:G14"/>
    <mergeCell ref="H14:N14"/>
    <mergeCell ref="B15:D15"/>
    <mergeCell ref="E15:G15"/>
    <mergeCell ref="H15:N15"/>
    <mergeCell ref="B16:B18"/>
    <mergeCell ref="C16:C18"/>
    <mergeCell ref="D16:D18"/>
    <mergeCell ref="E16:J16"/>
    <mergeCell ref="L16:N16"/>
  </mergeCells>
  <conditionalFormatting sqref="G109:O120 B19:O108">
    <cfRule type="expression" dxfId="5" priority="6">
      <formula>$C19&lt;&gt;""</formula>
    </cfRule>
  </conditionalFormatting>
  <conditionalFormatting sqref="J19:K120 O19:O120">
    <cfRule type="expression" dxfId="4" priority="5">
      <formula>$C19&lt;&gt;""</formula>
    </cfRule>
  </conditionalFormatting>
  <conditionalFormatting sqref="A19:T1966">
    <cfRule type="expression" dxfId="3" priority="4">
      <formula>$C19=""</formula>
    </cfRule>
  </conditionalFormatting>
  <conditionalFormatting sqref="K19:K120">
    <cfRule type="containsText" dxfId="2" priority="3" operator="containsText" text="Not yet Competent">
      <formula>NOT(ISERROR(SEARCH("Not yet Competent",K19)))</formula>
    </cfRule>
  </conditionalFormatting>
  <conditionalFormatting sqref="O19:O120">
    <cfRule type="containsText" dxfId="1" priority="1" operator="containsText" text="Ongoing">
      <formula>NOT(ISERROR(SEARCH("Ongoing",O19)))</formula>
    </cfRule>
    <cfRule type="containsText" dxfId="0" priority="2" operator="containsText" text="Re-Assessment">
      <formula>NOT(ISERROR(SEARCH("Re-Assessment",O19)))</formula>
    </cfRule>
  </conditionalFormatting>
  <dataValidations count="8">
    <dataValidation type="custom" errorStyle="warning" allowBlank="1" showInputMessage="1" showErrorMessage="1" errorTitle="These Data are Allready Exist" error="Please these Records are allready exist, Try to Enter the New one" sqref="D52:D54">
      <formula1>COUNTIFS($E$7:$E$1048576,$E52,$F$7:$F$1048576,$F52)&lt;=1</formula1>
    </dataValidation>
    <dataValidation type="custom" errorStyle="warning" allowBlank="1" showInputMessage="1" showErrorMessage="1" errorTitle="These Data are Allready Exist" error="Please these Records are allready exist, Try to Enter the New one" sqref="D50">
      <formula1>COUNTIFS($D$6:$D$1048576,#REF!,$E$6:$E$1048576,$E50)&lt;=1</formula1>
    </dataValidation>
    <dataValidation type="custom" errorStyle="warning" allowBlank="1" showInputMessage="1" showErrorMessage="1" errorTitle="These Data are Allready Exist" error="Please these Records are allready exist, Try to Enter the New one" sqref="D46">
      <formula1>COUNTIFS($D$6:$D$1048576,$D50,$E$6:$E$1048576,$E46)&lt;=1</formula1>
    </dataValidation>
    <dataValidation type="custom" errorStyle="warning" allowBlank="1" showInputMessage="1" showErrorMessage="1" errorTitle="These Data are Allready Exist" error="Please these Records are allready exist, Try to Enter the New one" sqref="D51 D47:D49 D19:D45 D55">
      <formula1>COUNTIFS($D$6:$D$1048576,$D19,$E$6:$E$1048576,$E19)&lt;=1</formula1>
    </dataValidation>
    <dataValidation type="list" allowBlank="1" showInputMessage="1" showErrorMessage="1" sqref="O15">
      <formula1>"SM,GM,CM"</formula1>
    </dataValidation>
    <dataValidation type="list" allowBlank="1" showInputMessage="1" sqref="O16">
      <formula1>"Completed,Ongoing,Not yet Taught"</formula1>
    </dataValidation>
    <dataValidation type="list" allowBlank="1" showInputMessage="1" showErrorMessage="1" sqref="D11">
      <formula1>"FIRST TERM,SECOND TERM,THIRD TERM"</formula1>
    </dataValidation>
    <dataValidation allowBlank="1" showInputMessage="1" showErrorMessage="1" sqref="E13:N13 O13"/>
  </dataValidations>
  <printOptions horizontalCentered="1"/>
  <pageMargins left="0.25" right="0.25" top="0.5" bottom="0.5" header="0.3" footer="0.3"/>
  <pageSetup paperSize="9" fitToHeight="0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Desire</dc:creator>
  <cp:lastModifiedBy>Landry</cp:lastModifiedBy>
  <dcterms:created xsi:type="dcterms:W3CDTF">2025-06-13T12:41:41Z</dcterms:created>
  <dcterms:modified xsi:type="dcterms:W3CDTF">2025-09-19T10:20:51Z</dcterms:modified>
</cp:coreProperties>
</file>