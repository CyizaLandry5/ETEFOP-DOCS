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ndry\3D Objects\ETEFOP Trainer Docs\ETEFOP-DOCS\MY CLASSES\RE-ASSESSMENTS\"/>
    </mc:Choice>
  </mc:AlternateContent>
  <bookViews>
    <workbookView xWindow="0" yWindow="0" windowWidth="24000" windowHeight="9525"/>
  </bookViews>
  <sheets>
    <sheet name="Sheet1" sheetId="1" r:id="rId1"/>
  </sheets>
  <definedNames>
    <definedName name="_xlnm.Print_Area" localSheetId="0">Sheet1!$B$4:$O$80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0" i="1" l="1"/>
  <c r="K80" i="1" s="1"/>
  <c r="J81" i="1"/>
  <c r="K81" i="1" l="1"/>
  <c r="J79" i="1"/>
  <c r="J78" i="1"/>
  <c r="K78" i="1" s="1"/>
  <c r="J77" i="1"/>
  <c r="J76" i="1"/>
  <c r="K76" i="1" s="1"/>
  <c r="J75" i="1"/>
  <c r="K75" i="1" s="1"/>
  <c r="J74" i="1"/>
  <c r="K74" i="1" s="1"/>
  <c r="J73" i="1"/>
  <c r="J72" i="1"/>
  <c r="J71" i="1"/>
  <c r="K71" i="1" s="1"/>
  <c r="J70" i="1"/>
  <c r="J69" i="1"/>
  <c r="K69" i="1" s="1"/>
  <c r="J68" i="1"/>
  <c r="K68" i="1" s="1"/>
  <c r="J67" i="1"/>
  <c r="K67" i="1" s="1"/>
  <c r="J66" i="1"/>
  <c r="J65" i="1"/>
  <c r="J64" i="1"/>
  <c r="J63" i="1"/>
  <c r="K63" i="1" s="1"/>
  <c r="J62" i="1"/>
  <c r="K62" i="1" s="1"/>
  <c r="J61" i="1"/>
  <c r="J60" i="1"/>
  <c r="K60" i="1" s="1"/>
  <c r="J59" i="1"/>
  <c r="K59" i="1" s="1"/>
  <c r="J58" i="1"/>
  <c r="K58" i="1" s="1"/>
  <c r="J57" i="1"/>
  <c r="J56" i="1"/>
  <c r="J55" i="1"/>
  <c r="K55" i="1" s="1"/>
  <c r="J54" i="1"/>
  <c r="J53" i="1"/>
  <c r="K53" i="1" s="1"/>
  <c r="J52" i="1"/>
  <c r="J51" i="1"/>
  <c r="K51" i="1" s="1"/>
  <c r="J50" i="1"/>
  <c r="K50" i="1" s="1"/>
  <c r="J49" i="1"/>
  <c r="J48" i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J40" i="1"/>
  <c r="J39" i="1"/>
  <c r="K39" i="1" s="1"/>
  <c r="J38" i="1"/>
  <c r="J37" i="1"/>
  <c r="K37" i="1" s="1"/>
  <c r="J36" i="1"/>
  <c r="J35" i="1"/>
  <c r="K35" i="1" s="1"/>
  <c r="J34" i="1"/>
  <c r="J33" i="1"/>
  <c r="J32" i="1"/>
  <c r="J31" i="1"/>
  <c r="K31" i="1" s="1"/>
  <c r="J30" i="1"/>
  <c r="K30" i="1" s="1"/>
  <c r="J29" i="1"/>
  <c r="J28" i="1"/>
  <c r="K28" i="1" s="1"/>
  <c r="J27" i="1"/>
  <c r="K27" i="1" s="1"/>
  <c r="J26" i="1"/>
  <c r="K26" i="1" s="1"/>
  <c r="J25" i="1"/>
  <c r="J24" i="1"/>
  <c r="J23" i="1"/>
  <c r="K23" i="1" s="1"/>
  <c r="J22" i="1"/>
  <c r="J21" i="1"/>
  <c r="K21" i="1" s="1"/>
  <c r="J20" i="1"/>
  <c r="K20" i="1" s="1"/>
  <c r="J19" i="1"/>
  <c r="K19" i="1" s="1"/>
  <c r="O17" i="1"/>
  <c r="P15" i="1"/>
  <c r="O81" i="1" s="1"/>
  <c r="J12" i="1"/>
  <c r="K12" i="1" s="1"/>
  <c r="A1" i="1"/>
  <c r="O80" i="1" l="1"/>
  <c r="O41" i="1"/>
  <c r="O22" i="1"/>
  <c r="O78" i="1"/>
  <c r="O74" i="1"/>
  <c r="O26" i="1"/>
  <c r="O32" i="1"/>
  <c r="O38" i="1"/>
  <c r="O57" i="1"/>
  <c r="O66" i="1"/>
  <c r="O42" i="1"/>
  <c r="O48" i="1"/>
  <c r="O54" i="1"/>
  <c r="O73" i="1"/>
  <c r="O25" i="1"/>
  <c r="O34" i="1"/>
  <c r="O58" i="1"/>
  <c r="O64" i="1"/>
  <c r="O70" i="1"/>
  <c r="O29" i="1"/>
  <c r="O30" i="1"/>
  <c r="K32" i="1"/>
  <c r="K34" i="1"/>
  <c r="O36" i="1"/>
  <c r="O52" i="1"/>
  <c r="K57" i="1"/>
  <c r="O61" i="1"/>
  <c r="O62" i="1"/>
  <c r="K64" i="1"/>
  <c r="K66" i="1"/>
  <c r="K73" i="1"/>
  <c r="O77" i="1"/>
  <c r="K22" i="1"/>
  <c r="O24" i="1"/>
  <c r="K29" i="1"/>
  <c r="O33" i="1"/>
  <c r="K36" i="1"/>
  <c r="K38" i="1"/>
  <c r="O40" i="1"/>
  <c r="O49" i="1"/>
  <c r="O50" i="1"/>
  <c r="K52" i="1"/>
  <c r="K54" i="1"/>
  <c r="O56" i="1"/>
  <c r="K61" i="1"/>
  <c r="O65" i="1"/>
  <c r="K70" i="1"/>
  <c r="O72" i="1"/>
  <c r="K77" i="1"/>
  <c r="O79" i="1"/>
  <c r="O71" i="1"/>
  <c r="O20" i="1"/>
  <c r="K25" i="1"/>
  <c r="K41" i="1"/>
  <c r="O45" i="1"/>
  <c r="O46" i="1"/>
  <c r="K48" i="1"/>
  <c r="O68" i="1"/>
  <c r="O75" i="1"/>
  <c r="O12" i="1"/>
  <c r="O21" i="1"/>
  <c r="K24" i="1"/>
  <c r="O28" i="1"/>
  <c r="K33" i="1"/>
  <c r="O37" i="1"/>
  <c r="K40" i="1"/>
  <c r="O44" i="1"/>
  <c r="K49" i="1"/>
  <c r="O53" i="1"/>
  <c r="K56" i="1"/>
  <c r="O60" i="1"/>
  <c r="K65" i="1"/>
  <c r="O69" i="1"/>
  <c r="K72" i="1"/>
  <c r="O76" i="1"/>
  <c r="K79" i="1"/>
  <c r="O19" i="1"/>
  <c r="O23" i="1"/>
  <c r="O27" i="1"/>
  <c r="O31" i="1"/>
  <c r="O35" i="1"/>
  <c r="O39" i="1"/>
  <c r="O43" i="1"/>
  <c r="O47" i="1"/>
  <c r="O51" i="1"/>
  <c r="O55" i="1"/>
  <c r="O59" i="1"/>
  <c r="O63" i="1"/>
  <c r="O67" i="1"/>
</calcChain>
</file>

<file path=xl/sharedStrings.xml><?xml version="1.0" encoding="utf-8"?>
<sst xmlns="http://schemas.openxmlformats.org/spreadsheetml/2006/main" count="163" uniqueCount="162">
  <si>
    <t>ACADEMIC YEAR 2024-2025</t>
  </si>
  <si>
    <t>TRAINER’S NAMES:</t>
  </si>
  <si>
    <t>COTATION SHEETS</t>
  </si>
  <si>
    <t>THIRD TERM</t>
  </si>
  <si>
    <t>CLASS NAME:</t>
  </si>
  <si>
    <t>L 3 NETWORKING AND INTERNET TECHNOLOGY</t>
  </si>
  <si>
    <t>MODULES DETAILS</t>
  </si>
  <si>
    <t>MODULE CODE</t>
  </si>
  <si>
    <t xml:space="preserve"> MODULE NAME</t>
  </si>
  <si>
    <t>Module Type</t>
  </si>
  <si>
    <t>STUDENTS DETAILS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</si>
  <si>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</si>
  <si>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</si>
  <si>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</si>
  <si>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</si>
  <si>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</si>
  <si>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</si>
  <si>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</si>
  <si>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</si>
  <si>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</si>
  <si>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</si>
  <si>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</si>
  <si>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</si>
  <si>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</si>
  <si>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</si>
  <si>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03324NET278</t>
  </si>
  <si>
    <t>BYIRINGIRO Etienne</t>
  </si>
  <si>
    <t>03324NET249</t>
  </si>
  <si>
    <t>GANZA Emmanuel Blessor</t>
  </si>
  <si>
    <t>03324NET281</t>
  </si>
  <si>
    <t>GIRINSHUTI EGIDE</t>
  </si>
  <si>
    <t>03324NET256</t>
  </si>
  <si>
    <t>HAVUGIMANA  Dieme</t>
  </si>
  <si>
    <t>03324NET253</t>
  </si>
  <si>
    <t>HIRWA  FABRICE</t>
  </si>
  <si>
    <t>03324NET304</t>
  </si>
  <si>
    <t>HIRWA Aimable</t>
  </si>
  <si>
    <t>03324NET312</t>
  </si>
  <si>
    <t>IGIHOZO Latipha</t>
  </si>
  <si>
    <t>03324NET257</t>
  </si>
  <si>
    <t>IMPANO Beni Maxime</t>
  </si>
  <si>
    <t>03324NET789</t>
  </si>
  <si>
    <t>IRAKOZE AGAPE</t>
  </si>
  <si>
    <t>03324NET287</t>
  </si>
  <si>
    <t>IRAKOZE Rodrigue</t>
  </si>
  <si>
    <t>03324NET255</t>
  </si>
  <si>
    <t>IRANZI MUCYO Justin</t>
  </si>
  <si>
    <t>03324NET283</t>
  </si>
  <si>
    <t>ISHIMWE Gift</t>
  </si>
  <si>
    <t>03324NET311</t>
  </si>
  <si>
    <t>ISHIMWE Josuee</t>
  </si>
  <si>
    <t>03324NET268</t>
  </si>
  <si>
    <t>IYAMUMPAYE Reoboth</t>
  </si>
  <si>
    <t>03324NET337</t>
  </si>
  <si>
    <t>KUNDWA Irene</t>
  </si>
  <si>
    <t>03324NET289</t>
  </si>
  <si>
    <t>KWIZERA  Arthur</t>
  </si>
  <si>
    <t>03324NET790</t>
  </si>
  <si>
    <t>KWIZERA Charles</t>
  </si>
  <si>
    <t>03324NET284</t>
  </si>
  <si>
    <t>MAKARA  Queen Dorcas</t>
  </si>
  <si>
    <t>03324NET313</t>
  </si>
  <si>
    <t>MANIRAHARI Denyse</t>
  </si>
  <si>
    <t>03324NET254</t>
  </si>
  <si>
    <t>MANIRARORA Jean Paul</t>
  </si>
  <si>
    <t>03324NET308</t>
  </si>
  <si>
    <t>MANISHIMWE  ELIE</t>
  </si>
  <si>
    <t>03324NET314</t>
  </si>
  <si>
    <t>MBERABAHIZI Lionceau</t>
  </si>
  <si>
    <t>03324NET306</t>
  </si>
  <si>
    <t>MUGISHA Josue</t>
  </si>
  <si>
    <t>03324NET273</t>
  </si>
  <si>
    <t>MUSHIMIYIMANA  Angelique</t>
  </si>
  <si>
    <t>03324NET280</t>
  </si>
  <si>
    <t>MUSHIMIYIMANA  Noella</t>
  </si>
  <si>
    <t>03324NET296</t>
  </si>
  <si>
    <t>MWITEDAWE Rose</t>
  </si>
  <si>
    <t>03324NET261</t>
  </si>
  <si>
    <t>NDASHIMYE SHAMI Regis</t>
  </si>
  <si>
    <t>03324NET271</t>
  </si>
  <si>
    <t>NDAYISHIMYE Bonheur</t>
  </si>
  <si>
    <t>03323AUT14</t>
  </si>
  <si>
    <t xml:space="preserve">NDUWAYEZU ANSELME </t>
  </si>
  <si>
    <t>03324NET279</t>
  </si>
  <si>
    <t>NIBEHO  Marie Souzan</t>
  </si>
  <si>
    <t>03324NET277</t>
  </si>
  <si>
    <t>NIMURAGIRE RUKUNDO Metuschelah</t>
  </si>
  <si>
    <t>03324NET300</t>
  </si>
  <si>
    <t>NIWESHEMA  Jean Confiance</t>
  </si>
  <si>
    <t>03324NET302</t>
  </si>
  <si>
    <t>NIYIGENA Fabrice</t>
  </si>
  <si>
    <t>03324NET266</t>
  </si>
  <si>
    <t>NIYOGUSHIMWA  Hornella</t>
  </si>
  <si>
    <t>03324NET292</t>
  </si>
  <si>
    <t>NIYOKWIRINGIRA  Jean Damour</t>
  </si>
  <si>
    <t>03324NET260</t>
  </si>
  <si>
    <t>NIYOYABIKOZE  Valens</t>
  </si>
  <si>
    <t>03324NET305</t>
  </si>
  <si>
    <t>NSHIMIYIMANA SIMON</t>
  </si>
  <si>
    <t>03324NET290</t>
  </si>
  <si>
    <t>NTIVUGURUZWA  LEOBENI</t>
  </si>
  <si>
    <t>03324NET288</t>
  </si>
  <si>
    <t>NYUZWENAYESU DORCUS</t>
  </si>
  <si>
    <t>03324NET336</t>
  </si>
  <si>
    <t>NZIZA Divin</t>
  </si>
  <si>
    <t>03324NET276</t>
  </si>
  <si>
    <t>REMEZO John</t>
  </si>
  <si>
    <t>03324NET286</t>
  </si>
  <si>
    <t>RUKUNDO Christian</t>
  </si>
  <si>
    <t>03324NET274</t>
  </si>
  <si>
    <t>RURABO Honorine</t>
  </si>
  <si>
    <t>03324NET291</t>
  </si>
  <si>
    <t>SHEMA Fidele</t>
  </si>
  <si>
    <t>03324NET259</t>
  </si>
  <si>
    <t>TUYAMBAZE Jean Julien Edmond</t>
  </si>
  <si>
    <t>03324NET309</t>
  </si>
  <si>
    <t>TUYIRAMYE Merry Eloise</t>
  </si>
  <si>
    <t>03324NET263</t>
  </si>
  <si>
    <t>TUYISHIME  kEVIN</t>
  </si>
  <si>
    <t>03324NET301</t>
  </si>
  <si>
    <t>TUYISINGIZE Theophile</t>
  </si>
  <si>
    <t>03323NET231</t>
  </si>
  <si>
    <t>UWIRINGIYIMANA CLEMENTINE</t>
  </si>
  <si>
    <t>Not yet Competent</t>
  </si>
  <si>
    <t>Ongoing</t>
  </si>
  <si>
    <t>03324NET252</t>
  </si>
  <si>
    <t>TUYIZERE  Gervais</t>
  </si>
  <si>
    <t>03323NET232</t>
  </si>
  <si>
    <t>YESARAKIZA  PATIENCE</t>
  </si>
  <si>
    <t>Competent</t>
  </si>
  <si>
    <t xml:space="preserve"> </t>
  </si>
  <si>
    <t>03324NET315</t>
  </si>
  <si>
    <t>TUYIZERE ALICE</t>
  </si>
  <si>
    <t>03324NET285</t>
  </si>
  <si>
    <t>UMUBYEYI Rehema</t>
  </si>
  <si>
    <t>03324NET310</t>
  </si>
  <si>
    <t>UWAJENEZA Julienne</t>
  </si>
  <si>
    <t>03324NET272</t>
  </si>
  <si>
    <t>UWANYIRIGIRA Laurence</t>
  </si>
  <si>
    <t>03324NET299</t>
  </si>
  <si>
    <t>UWASE  Milly</t>
  </si>
  <si>
    <t>03324NET297</t>
  </si>
  <si>
    <t>UWASE Brian</t>
  </si>
  <si>
    <t>03324NET298</t>
  </si>
  <si>
    <t>UWAYO Adeline</t>
  </si>
  <si>
    <t>03324NET264</t>
  </si>
  <si>
    <t>UWAZIGIRA  Marie Claire</t>
  </si>
  <si>
    <t>03324ELE295</t>
  </si>
  <si>
    <t>UWERA Aliane</t>
  </si>
  <si>
    <t>03324NET307</t>
  </si>
  <si>
    <t>UWIHIRWE Olivier</t>
  </si>
  <si>
    <t>03324NET270</t>
  </si>
  <si>
    <t>UWIZEYIMANA DANY</t>
  </si>
  <si>
    <t>03324NET262</t>
  </si>
  <si>
    <t>UWUMUREMYI Zamda</t>
  </si>
  <si>
    <t>SM</t>
  </si>
  <si>
    <t>Completed</t>
  </si>
  <si>
    <t xml:space="preserve"> MPAYIMANA CYIZA Landry</t>
  </si>
  <si>
    <t>IOT SYSTEM INSTALLATON</t>
  </si>
  <si>
    <t>NITIS301</t>
  </si>
  <si>
    <t>MUHIRE Germain</t>
  </si>
  <si>
    <t>NTWARI KUNDA Aldo Serge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</si>
</sst>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10" fillId="8" borderId="5" xfId="0" applyFont="1" applyFill="1" applyBorder="1" applyAlignment="1" applyProtection="1">
      <alignment vertical="center"/>
      <protection hidden="1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  <xf numFmtId="0" fontId="0" fillId="0" borderId="0" xfId="0" applyAlignment="1" applyProtection="1">
      <alignment horizontal="center" vertical="center"/>
      <protection locked="0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6">
    <dxf>
      <fill>
        <patternFill>
          <bgColor theme="4" tint="0.59996337778862885"/>
        </patternFill>
      </fill>
    </dxf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B944E37A-758D-4157-85F1-168D62C6A6CB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FC246E7C-20D8-4D61-A4D2-FDB52407AFC0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CC135B7E-147E-4C15-BE30-C83058C01254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FF79CE31-B787-45D1-A426-4D23C4308315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3C1601C9-F977-42CA-B1B9-D0D4A72841D8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218DF785-72A8-4BE3-B571-DC30EF527EDE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F1010E61-C1FB-41FA-A264-65DF15F1BF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8C914D93-AF9A-4E53-8D52-1F0F95F0FF90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A5FCF9FA-3B3C-45FA-9A4D-2BAE1F078991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78"/>
  <sheetViews>
    <sheetView showGridLines="0" tabSelected="1" topLeftCell="A64" workbookViewId="0">
      <selection activeCell="L81" sqref="L81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COUNTA(C19:C19968)+18</f>
        <v>81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55" t="s">
        <v>157</v>
      </c>
      <c r="E10" s="55"/>
      <c r="F10" s="55"/>
      <c r="G10" s="55"/>
      <c r="H10" s="55"/>
      <c r="I10" s="55"/>
      <c r="J10" s="55"/>
      <c r="K10" s="55"/>
      <c r="P10" s="9"/>
      <c r="Q10" s="9"/>
      <c r="R10" s="9"/>
      <c r="S10" s="9"/>
      <c r="T10" s="9"/>
    </row>
    <row r="11" spans="1:20" ht="18" customHeight="1" x14ac:dyDescent="0.25">
      <c r="A11" s="9"/>
      <c r="B11" s="56" t="s">
        <v>2</v>
      </c>
      <c r="C11" s="56"/>
      <c r="D11" s="16" t="s">
        <v>3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$110)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57" t="s">
        <v>4</v>
      </c>
      <c r="C13" s="58"/>
      <c r="D13" s="58"/>
      <c r="E13" s="59" t="s">
        <v>5</v>
      </c>
      <c r="F13" s="60"/>
      <c r="G13" s="60"/>
      <c r="H13" s="60"/>
      <c r="I13" s="60"/>
      <c r="J13" s="60"/>
      <c r="K13" s="60"/>
      <c r="L13" s="60"/>
      <c r="M13" s="60"/>
      <c r="N13" s="60"/>
      <c r="O13" s="17"/>
      <c r="P13" s="9"/>
      <c r="Q13" s="9"/>
      <c r="R13" s="9"/>
      <c r="S13" s="9"/>
      <c r="T13" s="9"/>
    </row>
    <row r="14" spans="1:20" ht="18" customHeight="1" x14ac:dyDescent="0.25">
      <c r="A14" s="9"/>
      <c r="B14" s="61" t="s">
        <v>6</v>
      </c>
      <c r="C14" s="62"/>
      <c r="D14" s="63"/>
      <c r="E14" s="64" t="s">
        <v>7</v>
      </c>
      <c r="F14" s="64"/>
      <c r="G14" s="64"/>
      <c r="H14" s="65" t="s">
        <v>8</v>
      </c>
      <c r="I14" s="65"/>
      <c r="J14" s="65"/>
      <c r="K14" s="65"/>
      <c r="L14" s="65"/>
      <c r="M14" s="65"/>
      <c r="N14" s="65"/>
      <c r="O14" s="18" t="s">
        <v>9</v>
      </c>
      <c r="P14" s="9"/>
      <c r="Q14" s="9"/>
      <c r="R14" s="9"/>
      <c r="S14" s="9"/>
      <c r="T14" s="9"/>
    </row>
    <row r="15" spans="1:20" ht="18" customHeight="1" x14ac:dyDescent="0.25">
      <c r="A15" s="9"/>
      <c r="B15" s="40" t="s">
        <v>10</v>
      </c>
      <c r="C15" s="40"/>
      <c r="D15" s="40"/>
      <c r="E15" s="41" t="s">
        <v>159</v>
      </c>
      <c r="F15" s="42"/>
      <c r="G15" s="43"/>
      <c r="H15" s="41" t="s">
        <v>158</v>
      </c>
      <c r="I15" s="42"/>
      <c r="J15" s="42"/>
      <c r="K15" s="42"/>
      <c r="L15" s="42"/>
      <c r="M15" s="42"/>
      <c r="N15" s="43"/>
      <c r="O15" s="19" t="s">
        <v>155</v>
      </c>
      <c r="P15" s="9" t="str">
        <f>IF(O15="SM","0.7",IF(O15="GM","0.5",IF(O15="CM","0.5","")))</f>
        <v>0.7</v>
      </c>
      <c r="Q15" s="9"/>
      <c r="R15" s="9"/>
      <c r="S15" s="9"/>
      <c r="T15" s="9"/>
    </row>
    <row r="16" spans="1:20" ht="15.75" customHeight="1" x14ac:dyDescent="0.25">
      <c r="A16" s="9"/>
      <c r="B16" s="44" t="s">
        <v>11</v>
      </c>
      <c r="C16" s="45" t="s">
        <v>12</v>
      </c>
      <c r="D16" s="48" t="s">
        <v>13</v>
      </c>
      <c r="E16" s="49" t="s">
        <v>14</v>
      </c>
      <c r="F16" s="50"/>
      <c r="G16" s="50"/>
      <c r="H16" s="50"/>
      <c r="I16" s="50"/>
      <c r="J16" s="51"/>
      <c r="K16" s="20" t="s">
        <v>15</v>
      </c>
      <c r="L16" s="52" t="s">
        <v>16</v>
      </c>
      <c r="M16" s="53"/>
      <c r="N16" s="54"/>
      <c r="O16" s="21" t="s">
        <v>156</v>
      </c>
      <c r="P16" s="9"/>
      <c r="Q16" s="9"/>
      <c r="R16" s="9"/>
      <c r="S16" s="9"/>
      <c r="T16" s="9"/>
    </row>
    <row r="17" spans="1:20" ht="15.75" customHeight="1" x14ac:dyDescent="0.25">
      <c r="A17" s="9"/>
      <c r="B17" s="44"/>
      <c r="C17" s="46"/>
      <c r="D17" s="48"/>
      <c r="E17" s="22" t="s">
        <v>17</v>
      </c>
      <c r="F17" s="23" t="s">
        <v>18</v>
      </c>
      <c r="G17" s="23" t="s">
        <v>19</v>
      </c>
      <c r="H17" s="22" t="s">
        <v>20</v>
      </c>
      <c r="I17" s="23" t="s">
        <v>21</v>
      </c>
      <c r="J17" s="23" t="s">
        <v>22</v>
      </c>
      <c r="K17" s="24" t="s">
        <v>23</v>
      </c>
      <c r="L17" s="23">
        <v>1</v>
      </c>
      <c r="M17" s="23">
        <v>2</v>
      </c>
      <c r="N17" s="23">
        <v>3</v>
      </c>
      <c r="O17" s="23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44"/>
      <c r="C18" s="47"/>
      <c r="D18" s="48"/>
      <c r="E18" s="25"/>
      <c r="F18" s="25"/>
      <c r="G18" s="25"/>
      <c r="H18" s="25"/>
      <c r="I18" s="25"/>
      <c r="J18" s="26" t="e">
        <v>#N/A</v>
      </c>
      <c r="K18" s="27" t="s">
        <v>24</v>
      </c>
      <c r="L18" s="25">
        <v>20</v>
      </c>
      <c r="M18" s="25"/>
      <c r="N18" s="25"/>
      <c r="O18" s="27" t="s">
        <v>24</v>
      </c>
      <c r="P18" s="9"/>
      <c r="Q18" s="9"/>
      <c r="R18" s="9"/>
      <c r="S18" s="9"/>
      <c r="T18" s="9"/>
    </row>
    <row r="19" spans="1:20" ht="13.5" customHeight="1" x14ac:dyDescent="0.25">
      <c r="A19" s="9"/>
      <c r="B19" s="28">
        <v>1</v>
      </c>
      <c r="C19" s="29" t="s">
        <v>25</v>
      </c>
      <c r="D19" s="30" t="s">
        <v>26</v>
      </c>
      <c r="E19" s="31"/>
      <c r="F19" s="31"/>
      <c r="G19" s="31"/>
      <c r="H19" s="31"/>
      <c r="I19" s="31"/>
      <c r="J19" s="32" t="str">
        <f>IFERROR(IF(OR(E19&gt;$E$18,F19&gt;$F$18,G19&gt;$G$18,H19&gt;$H$18,I19&gt;$I$18),"-",IF(OR($H$15="",$O$16="",$K$17="",$O$15=""),"",IF(OR(SUM(E$18:I$110)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33" t="str">
        <f t="shared" ref="K19:K78" si="0">IF($O$15="","",IF(ISTEXT(J19),"",IF(J19&gt;=$K$17*$P$15,"Competent","Not yet Competent")))</f>
        <v/>
      </c>
      <c r="L19" s="34">
        <v>19</v>
      </c>
      <c r="M19" s="34"/>
      <c r="N19" s="34"/>
      <c r="O19" s="33" t="str">
        <f t="shared" ref="O19:O78" si="1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35">
        <v>2</v>
      </c>
      <c r="C20" s="29" t="s">
        <v>27</v>
      </c>
      <c r="D20" s="30" t="s">
        <v>28</v>
      </c>
      <c r="E20" s="34"/>
      <c r="F20" s="34"/>
      <c r="G20" s="34"/>
      <c r="H20" s="34"/>
      <c r="I20" s="34"/>
      <c r="J20" s="32" t="str">
        <f>IFERROR(IF(OR(E20&gt;$E$18,F20&gt;$F$18,G20&gt;$G$18,H20&gt;$H$18,I20&gt;$I$18),"-",IF(OR($H$15="",$O$16="",$K$17="",$O$15=""),"",IF(OR(SUM(E$18:I$110)&lt;=0,$D20=""),"",IF(AND(SUM(E$18:G$18)&gt;0,H$18&gt;0,I$18&gt;0),((SUM(E20:G20)*K$17/SUM(E$18:G$18))+(H20*K$17/H$18)+(I20*K$17/I$18))/3,IF(AND(SUM(E$18:G$18)&gt;0,H$18&gt;0),((SUM(E20:G20)*K$17/SUM(E$18:G$18))+(H20*K$17/H$18))/2,IF(AND(SUM(E$18:G$18)&gt;0,I$18&gt;0),((SUM(E20:G20)*K$17/SUM(E$18:G$18))+(I20*K$17/I$18))/2,IF(AND(H$18&gt;0,I$18&gt;0),((H20*K$17/H$18)+(I20*K$17/I$18))/2,IF(SUM(E$18:G$18)&gt;0,SUM(E20:G20)*K$17/SUM(E$18:G$18),IF(H$18&gt;0,H20*K$17/H$18,IF(I$18&gt;0,I20*K$17/I$18,"-")))))))))),"-")</f>
        <v/>
      </c>
      <c r="K20" s="33" t="str">
        <f t="shared" si="0"/>
        <v/>
      </c>
      <c r="L20" s="34"/>
      <c r="M20" s="34"/>
      <c r="N20" s="34"/>
      <c r="O20" s="33" t="str">
        <f t="shared" si="1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28">
        <v>3</v>
      </c>
      <c r="C21" s="29" t="s">
        <v>29</v>
      </c>
      <c r="D21" s="30" t="s">
        <v>30</v>
      </c>
      <c r="E21" s="34"/>
      <c r="F21" s="34"/>
      <c r="G21" s="34"/>
      <c r="H21" s="34"/>
      <c r="I21" s="34"/>
      <c r="J21" s="32" t="str">
        <f>IFERROR(IF(OR(E21&gt;$E$18,F21&gt;$F$18,G21&gt;$G$18,H21&gt;$H$18,I21&gt;$I$18),"-",IF(OR($H$15="",$O$16="",$K$17="",$O$15=""),"",IF(OR(SUM(E$18:I$110)&lt;=0,$D21=""),"",IF(AND(SUM(E$18:G$18)&gt;0,H$18&gt;0,I$18&gt;0),((SUM(E21:G21)*K$17/SUM(E$18:G$18))+(H21*K$17/H$18)+(I21*K$17/I$18))/3,IF(AND(SUM(E$18:G$18)&gt;0,H$18&gt;0),((SUM(E21:G21)*K$17/SUM(E$18:G$18))+(H21*K$17/H$18))/2,IF(AND(SUM(E$18:G$18)&gt;0,I$18&gt;0),((SUM(E21:G21)*K$17/SUM(E$18:G$18))+(I21*K$17/I$18))/2,IF(AND(H$18&gt;0,I$18&gt;0),((H21*K$17/H$18)+(I21*K$17/I$18))/2,IF(SUM(E$18:G$18)&gt;0,SUM(E21:G21)*K$17/SUM(E$18:G$18),IF(H$18&gt;0,H21*K$17/H$18,IF(I$18&gt;0,I21*K$17/I$18,"-")))))))))),"-")</f>
        <v/>
      </c>
      <c r="K21" s="33" t="str">
        <f t="shared" si="0"/>
        <v/>
      </c>
      <c r="L21" s="34"/>
      <c r="M21" s="34"/>
      <c r="N21" s="34"/>
      <c r="O21" s="33" t="str">
        <f t="shared" si="1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28">
        <v>4</v>
      </c>
      <c r="C22" s="29" t="s">
        <v>31</v>
      </c>
      <c r="D22" s="30" t="s">
        <v>32</v>
      </c>
      <c r="E22" s="34"/>
      <c r="F22" s="34"/>
      <c r="G22" s="34"/>
      <c r="H22" s="34"/>
      <c r="I22" s="34"/>
      <c r="J22" s="32" t="str">
        <f>IFERROR(IF(OR(E22&gt;$E$18,F22&gt;$F$18,G22&gt;$G$18,H22&gt;$H$18,I22&gt;$I$18),"-",IF(OR($H$15="",$O$16="",$K$17="",$O$15=""),"",IF(OR(SUM(E$18:I$110)&lt;=0,$D22=""),"",IF(AND(SUM(E$18:G$18)&gt;0,H$18&gt;0,I$18&gt;0),((SUM(E22:G22)*K$17/SUM(E$18:G$18))+(H22*K$17/H$18)+(I22*K$17/I$18))/3,IF(AND(SUM(E$18:G$18)&gt;0,H$18&gt;0),((SUM(E22:G22)*K$17/SUM(E$18:G$18))+(H22*K$17/H$18))/2,IF(AND(SUM(E$18:G$18)&gt;0,I$18&gt;0),((SUM(E22:G22)*K$17/SUM(E$18:G$18))+(I22*K$17/I$18))/2,IF(AND(H$18&gt;0,I$18&gt;0),((H22*K$17/H$18)+(I22*K$17/I$18))/2,IF(SUM(E$18:G$18)&gt;0,SUM(E22:G22)*K$17/SUM(E$18:G$18),IF(H$18&gt;0,H22*K$17/H$18,IF(I$18&gt;0,I22*K$17/I$18,"-")))))))))),"-")</f>
        <v/>
      </c>
      <c r="K22" s="33" t="str">
        <f t="shared" si="0"/>
        <v/>
      </c>
      <c r="L22" s="34"/>
      <c r="M22" s="34"/>
      <c r="N22" s="34"/>
      <c r="O22" s="33" t="str">
        <f t="shared" si="1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28">
        <v>5</v>
      </c>
      <c r="C23" s="29" t="s">
        <v>33</v>
      </c>
      <c r="D23" s="30" t="s">
        <v>34</v>
      </c>
      <c r="E23" s="31"/>
      <c r="F23" s="31"/>
      <c r="G23" s="31"/>
      <c r="H23" s="31"/>
      <c r="I23" s="31"/>
      <c r="J23" s="32" t="str">
        <f>IFERROR(IF(OR(E23&gt;$E$18,F23&gt;$F$18,G23&gt;$G$18,H23&gt;$H$18,I23&gt;$I$18),"-",IF(OR($H$15="",$O$16="",$K$17="",$O$15=""),"",IF(OR(SUM(E$18:I$110)&lt;=0,$D23=""),"",IF(AND(SUM(E$18:G$18)&gt;0,H$18&gt;0,I$18&gt;0),((SUM(E23:G23)*K$17/SUM(E$18:G$18))+(H23*K$17/H$18)+(I23*K$17/I$18))/3,IF(AND(SUM(E$18:G$18)&gt;0,H$18&gt;0),((SUM(E23:G23)*K$17/SUM(E$18:G$18))+(H23*K$17/H$18))/2,IF(AND(SUM(E$18:G$18)&gt;0,I$18&gt;0),((SUM(E23:G23)*K$17/SUM(E$18:G$18))+(I23*K$17/I$18))/2,IF(AND(H$18&gt;0,I$18&gt;0),((H23*K$17/H$18)+(I23*K$17/I$18))/2,IF(SUM(E$18:G$18)&gt;0,SUM(E23:G23)*K$17/SUM(E$18:G$18),IF(H$18&gt;0,H23*K$17/H$18,IF(I$18&gt;0,I23*K$17/I$18,"-")))))))))),"-")</f>
        <v/>
      </c>
      <c r="K23" s="33" t="str">
        <f t="shared" si="0"/>
        <v/>
      </c>
      <c r="L23" s="34"/>
      <c r="M23" s="34"/>
      <c r="N23" s="34"/>
      <c r="O23" s="33" t="str">
        <f t="shared" si="1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28">
        <v>6</v>
      </c>
      <c r="C24" s="29" t="s">
        <v>35</v>
      </c>
      <c r="D24" s="30" t="s">
        <v>36</v>
      </c>
      <c r="E24" s="34"/>
      <c r="F24" s="34"/>
      <c r="G24" s="34"/>
      <c r="H24" s="34"/>
      <c r="I24" s="34"/>
      <c r="J24" s="32" t="str">
        <f>IFERROR(IF(OR(E24&gt;$E$18,F24&gt;$F$18,G24&gt;$G$18,H24&gt;$H$18,I24&gt;$I$18),"-",IF(OR($H$15="",$O$16="",$K$17="",$O$15=""),"",IF(OR(SUM(E$18:I$110)&lt;=0,$D24=""),"",IF(AND(SUM(E$18:G$18)&gt;0,H$18&gt;0,I$18&gt;0),((SUM(E24:G24)*K$17/SUM(E$18:G$18))+(H24*K$17/H$18)+(I24*K$17/I$18))/3,IF(AND(SUM(E$18:G$18)&gt;0,H$18&gt;0),((SUM(E24:G24)*K$17/SUM(E$18:G$18))+(H24*K$17/H$18))/2,IF(AND(SUM(E$18:G$18)&gt;0,I$18&gt;0),((SUM(E24:G24)*K$17/SUM(E$18:G$18))+(I24*K$17/I$18))/2,IF(AND(H$18&gt;0,I$18&gt;0),((H24*K$17/H$18)+(I24*K$17/I$18))/2,IF(SUM(E$18:G$18)&gt;0,SUM(E24:G24)*K$17/SUM(E$18:G$18),IF(H$18&gt;0,H24*K$17/H$18,IF(I$18&gt;0,I24*K$17/I$18,"-")))))))))),"-")</f>
        <v/>
      </c>
      <c r="K24" s="33" t="str">
        <f t="shared" si="0"/>
        <v/>
      </c>
      <c r="L24" s="34"/>
      <c r="M24" s="34"/>
      <c r="N24" s="34"/>
      <c r="O24" s="33" t="str">
        <f t="shared" si="1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28">
        <v>7</v>
      </c>
      <c r="C25" s="29" t="s">
        <v>37</v>
      </c>
      <c r="D25" s="36" t="s">
        <v>38</v>
      </c>
      <c r="E25" s="37"/>
      <c r="F25" s="37"/>
      <c r="G25" s="37"/>
      <c r="H25" s="37"/>
      <c r="I25" s="37"/>
      <c r="J25" s="32" t="str">
        <f>IFERROR(IF(OR(E25&gt;$E$18,F25&gt;$F$18,G25&gt;$G$18,H25&gt;$H$18,I25&gt;$I$18),"-",IF(OR($H$15="",$O$16="",$K$17="",$O$15=""),"",IF(OR(SUM(E$18:I$110)&lt;=0,$D25=""),"",IF(AND(SUM(E$18:G$18)&gt;0,H$18&gt;0,I$18&gt;0),((SUM(E25:G25)*K$17/SUM(E$18:G$18))+(H25*K$17/H$18)+(I25*K$17/I$18))/3,IF(AND(SUM(E$18:G$18)&gt;0,H$18&gt;0),((SUM(E25:G25)*K$17/SUM(E$18:G$18))+(H25*K$17/H$18))/2,IF(AND(SUM(E$18:G$18)&gt;0,I$18&gt;0),((SUM(E25:G25)*K$17/SUM(E$18:G$18))+(I25*K$17/I$18))/2,IF(AND(H$18&gt;0,I$18&gt;0),((H25*K$17/H$18)+(I25*K$17/I$18))/2,IF(SUM(E$18:G$18)&gt;0,SUM(E25:G25)*K$17/SUM(E$18:G$18),IF(H$18&gt;0,H25*K$17/H$18,IF(I$18&gt;0,I25*K$17/I$18,"-")))))))))),"-")</f>
        <v/>
      </c>
      <c r="K25" s="33" t="str">
        <f t="shared" si="0"/>
        <v/>
      </c>
      <c r="L25" s="34"/>
      <c r="M25" s="34"/>
      <c r="N25" s="34"/>
      <c r="O25" s="33" t="str">
        <f t="shared" si="1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35">
        <v>8</v>
      </c>
      <c r="C26" s="29" t="s">
        <v>39</v>
      </c>
      <c r="D26" s="30" t="s">
        <v>40</v>
      </c>
      <c r="E26" s="34"/>
      <c r="F26" s="34"/>
      <c r="G26" s="34"/>
      <c r="H26" s="34"/>
      <c r="I26" s="34"/>
      <c r="J26" s="32" t="str">
        <f>IFERROR(IF(OR(E26&gt;$E$18,F26&gt;$F$18,G26&gt;$G$18,H26&gt;$H$18,I26&gt;$I$18),"-",IF(OR($H$15="",$O$16="",$K$17="",$O$15=""),"",IF(OR(SUM(E$18:I$110)&lt;=0,$D26=""),"",IF(AND(SUM(E$18:G$18)&gt;0,H$18&gt;0,I$18&gt;0),((SUM(E26:G26)*K$17/SUM(E$18:G$18))+(H26*K$17/H$18)+(I26*K$17/I$18))/3,IF(AND(SUM(E$18:G$18)&gt;0,H$18&gt;0),((SUM(E26:G26)*K$17/SUM(E$18:G$18))+(H26*K$17/H$18))/2,IF(AND(SUM(E$18:G$18)&gt;0,I$18&gt;0),((SUM(E26:G26)*K$17/SUM(E$18:G$18))+(I26*K$17/I$18))/2,IF(AND(H$18&gt;0,I$18&gt;0),((H26*K$17/H$18)+(I26*K$17/I$18))/2,IF(SUM(E$18:G$18)&gt;0,SUM(E26:G26)*K$17/SUM(E$18:G$18),IF(H$18&gt;0,H26*K$17/H$18,IF(I$18&gt;0,I26*K$17/I$18,"-")))))))))),"-")</f>
        <v/>
      </c>
      <c r="K26" s="33" t="str">
        <f t="shared" si="0"/>
        <v/>
      </c>
      <c r="L26" s="34"/>
      <c r="M26" s="34"/>
      <c r="N26" s="34"/>
      <c r="O26" s="33" t="str">
        <f t="shared" si="1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35">
        <v>9</v>
      </c>
      <c r="C27" s="29" t="s">
        <v>41</v>
      </c>
      <c r="D27" s="30" t="s">
        <v>42</v>
      </c>
      <c r="E27" s="34"/>
      <c r="F27" s="34"/>
      <c r="G27" s="34"/>
      <c r="H27" s="34"/>
      <c r="I27" s="34"/>
      <c r="J27" s="32" t="str">
        <f>IFERROR(IF(OR(E27&gt;$E$18,F27&gt;$F$18,G27&gt;$G$18,H27&gt;$H$18,I27&gt;$I$18),"-",IF(OR($H$15="",$O$16="",$K$17="",$O$15=""),"",IF(OR(SUM(E$18:I$110)&lt;=0,$D27=""),"",IF(AND(SUM(E$18:G$18)&gt;0,H$18&gt;0,I$18&gt;0),((SUM(E27:G27)*K$17/SUM(E$18:G$18))+(H27*K$17/H$18)+(I27*K$17/I$18))/3,IF(AND(SUM(E$18:G$18)&gt;0,H$18&gt;0),((SUM(E27:G27)*K$17/SUM(E$18:G$18))+(H27*K$17/H$18))/2,IF(AND(SUM(E$18:G$18)&gt;0,I$18&gt;0),((SUM(E27:G27)*K$17/SUM(E$18:G$18))+(I27*K$17/I$18))/2,IF(AND(H$18&gt;0,I$18&gt;0),((H27*K$17/H$18)+(I27*K$17/I$18))/2,IF(SUM(E$18:G$18)&gt;0,SUM(E27:G27)*K$17/SUM(E$18:G$18),IF(H$18&gt;0,H27*K$17/H$18,IF(I$18&gt;0,I27*K$17/I$18,"-")))))))))),"-")</f>
        <v/>
      </c>
      <c r="K27" s="33" t="str">
        <f t="shared" si="0"/>
        <v/>
      </c>
      <c r="L27" s="34"/>
      <c r="M27" s="34"/>
      <c r="N27" s="34"/>
      <c r="O27" s="33" t="str">
        <f t="shared" si="1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35">
        <v>10</v>
      </c>
      <c r="C28" s="29" t="s">
        <v>43</v>
      </c>
      <c r="D28" s="30" t="s">
        <v>44</v>
      </c>
      <c r="E28" s="34"/>
      <c r="F28" s="34"/>
      <c r="G28" s="34"/>
      <c r="H28" s="34"/>
      <c r="I28" s="34"/>
      <c r="J28" s="32" t="str">
        <f>IFERROR(IF(OR(E28&gt;$E$18,F28&gt;$F$18,G28&gt;$G$18,H28&gt;$H$18,I28&gt;$I$18),"-",IF(OR($H$15="",$O$16="",$K$17="",$O$15=""),"",IF(OR(SUM(E$18:I$110)&lt;=0,$D28=""),"",IF(AND(SUM(E$18:G$18)&gt;0,H$18&gt;0,I$18&gt;0),((SUM(E28:G28)*K$17/SUM(E$18:G$18))+(H28*K$17/H$18)+(I28*K$17/I$18))/3,IF(AND(SUM(E$18:G$18)&gt;0,H$18&gt;0),((SUM(E28:G28)*K$17/SUM(E$18:G$18))+(H28*K$17/H$18))/2,IF(AND(SUM(E$18:G$18)&gt;0,I$18&gt;0),((SUM(E28:G28)*K$17/SUM(E$18:G$18))+(I28*K$17/I$18))/2,IF(AND(H$18&gt;0,I$18&gt;0),((H28*K$17/H$18)+(I28*K$17/I$18))/2,IF(SUM(E$18:G$18)&gt;0,SUM(E28:G28)*K$17/SUM(E$18:G$18),IF(H$18&gt;0,H28*K$17/H$18,IF(I$18&gt;0,I28*K$17/I$18,"-")))))))))),"-")</f>
        <v/>
      </c>
      <c r="K28" s="33" t="str">
        <f t="shared" si="0"/>
        <v/>
      </c>
      <c r="L28" s="34">
        <v>12</v>
      </c>
      <c r="M28" s="34"/>
      <c r="N28" s="34"/>
      <c r="O28" s="33" t="str">
        <f t="shared" si="1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35">
        <v>11</v>
      </c>
      <c r="C29" s="29" t="s">
        <v>45</v>
      </c>
      <c r="D29" s="36" t="s">
        <v>46</v>
      </c>
      <c r="E29" s="37"/>
      <c r="F29" s="37"/>
      <c r="G29" s="37"/>
      <c r="H29" s="37"/>
      <c r="I29" s="37"/>
      <c r="J29" s="32" t="str">
        <f>IFERROR(IF(OR(E29&gt;$E$18,F29&gt;$F$18,G29&gt;$G$18,H29&gt;$H$18,I29&gt;$I$18),"-",IF(OR($H$15="",$O$16="",$K$17="",$O$15=""),"",IF(OR(SUM(E$18:I$110)&lt;=0,$D29=""),"",IF(AND(SUM(E$18:G$18)&gt;0,H$18&gt;0,I$18&gt;0),((SUM(E29:G29)*K$17/SUM(E$18:G$18))+(H29*K$17/H$18)+(I29*K$17/I$18))/3,IF(AND(SUM(E$18:G$18)&gt;0,H$18&gt;0),((SUM(E29:G29)*K$17/SUM(E$18:G$18))+(H29*K$17/H$18))/2,IF(AND(SUM(E$18:G$18)&gt;0,I$18&gt;0),((SUM(E29:G29)*K$17/SUM(E$18:G$18))+(I29*K$17/I$18))/2,IF(AND(H$18&gt;0,I$18&gt;0),((H29*K$17/H$18)+(I29*K$17/I$18))/2,IF(SUM(E$18:G$18)&gt;0,SUM(E29:G29)*K$17/SUM(E$18:G$18),IF(H$18&gt;0,H29*K$17/H$18,IF(I$18&gt;0,I29*K$17/I$18,"-")))))))))),"-")</f>
        <v/>
      </c>
      <c r="K29" s="33" t="str">
        <f t="shared" si="0"/>
        <v/>
      </c>
      <c r="L29" s="34">
        <v>18</v>
      </c>
      <c r="M29" s="34"/>
      <c r="N29" s="34"/>
      <c r="O29" s="33" t="str">
        <f t="shared" si="1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28">
        <v>12</v>
      </c>
      <c r="C30" s="29" t="s">
        <v>47</v>
      </c>
      <c r="D30" s="38" t="s">
        <v>48</v>
      </c>
      <c r="E30" s="34"/>
      <c r="F30" s="34"/>
      <c r="G30" s="34"/>
      <c r="H30" s="34"/>
      <c r="I30" s="34"/>
      <c r="J30" s="32" t="str">
        <f>IFERROR(IF(OR(E30&gt;$E$18,F30&gt;$F$18,G30&gt;$G$18,H30&gt;$H$18,I30&gt;$I$18),"-",IF(OR($H$15="",$O$16="",$K$17="",$O$15=""),"",IF(OR(SUM(E$18:I$110)&lt;=0,$D30=""),"",IF(AND(SUM(E$18:G$18)&gt;0,H$18&gt;0,I$18&gt;0),((SUM(E30:G30)*K$17/SUM(E$18:G$18))+(H30*K$17/H$18)+(I30*K$17/I$18))/3,IF(AND(SUM(E$18:G$18)&gt;0,H$18&gt;0),((SUM(E30:G30)*K$17/SUM(E$18:G$18))+(H30*K$17/H$18))/2,IF(AND(SUM(E$18:G$18)&gt;0,I$18&gt;0),((SUM(E30:G30)*K$17/SUM(E$18:G$18))+(I30*K$17/I$18))/2,IF(AND(H$18&gt;0,I$18&gt;0),((H30*K$17/H$18)+(I30*K$17/I$18))/2,IF(SUM(E$18:G$18)&gt;0,SUM(E30:G30)*K$17/SUM(E$18:G$18),IF(H$18&gt;0,H30*K$17/H$18,IF(I$18&gt;0,I30*K$17/I$18,"-")))))))))),"-")</f>
        <v/>
      </c>
      <c r="K30" s="33" t="str">
        <f t="shared" si="0"/>
        <v/>
      </c>
      <c r="L30" s="34">
        <v>15</v>
      </c>
      <c r="M30" s="34"/>
      <c r="N30" s="34"/>
      <c r="O30" s="33" t="str">
        <f t="shared" si="1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28">
        <v>13</v>
      </c>
      <c r="C31" s="29" t="s">
        <v>49</v>
      </c>
      <c r="D31" s="30" t="s">
        <v>50</v>
      </c>
      <c r="E31" s="31"/>
      <c r="F31" s="31"/>
      <c r="G31" s="31"/>
      <c r="H31" s="31"/>
      <c r="I31" s="31"/>
      <c r="J31" s="32" t="str">
        <f>IFERROR(IF(OR(E31&gt;$E$18,F31&gt;$F$18,G31&gt;$G$18,H31&gt;$H$18,I31&gt;$I$18),"-",IF(OR($H$15="",$O$16="",$K$17="",$O$15=""),"",IF(OR(SUM(E$18:I$110)&lt;=0,$D31=""),"",IF(AND(SUM(E$18:G$18)&gt;0,H$18&gt;0,I$18&gt;0),((SUM(E31:G31)*K$17/SUM(E$18:G$18))+(H31*K$17/H$18)+(I31*K$17/I$18))/3,IF(AND(SUM(E$18:G$18)&gt;0,H$18&gt;0),((SUM(E31:G31)*K$17/SUM(E$18:G$18))+(H31*K$17/H$18))/2,IF(AND(SUM(E$18:G$18)&gt;0,I$18&gt;0),((SUM(E31:G31)*K$17/SUM(E$18:G$18))+(I31*K$17/I$18))/2,IF(AND(H$18&gt;0,I$18&gt;0),((H31*K$17/H$18)+(I31*K$17/I$18))/2,IF(SUM(E$18:G$18)&gt;0,SUM(E31:G31)*K$17/SUM(E$18:G$18),IF(H$18&gt;0,H31*K$17/H$18,IF(I$18&gt;0,I31*K$17/I$18,"-")))))))))),"-")</f>
        <v/>
      </c>
      <c r="K31" s="33" t="str">
        <f t="shared" si="0"/>
        <v/>
      </c>
      <c r="L31" s="34"/>
      <c r="M31" s="34"/>
      <c r="N31" s="34"/>
      <c r="O31" s="33" t="str">
        <f t="shared" si="1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28">
        <v>14</v>
      </c>
      <c r="C32" s="29" t="s">
        <v>51</v>
      </c>
      <c r="D32" s="30" t="s">
        <v>52</v>
      </c>
      <c r="E32" s="31"/>
      <c r="F32" s="31"/>
      <c r="G32" s="31"/>
      <c r="H32" s="31"/>
      <c r="I32" s="31"/>
      <c r="J32" s="32" t="str">
        <f>IFERROR(IF(OR(E32&gt;$E$18,F32&gt;$F$18,G32&gt;$G$18,H32&gt;$H$18,I32&gt;$I$18),"-",IF(OR($H$15="",$O$16="",$K$17="",$O$15=""),"",IF(OR(SUM(E$18:I$110)&lt;=0,$D32=""),"",IF(AND(SUM(E$18:G$18)&gt;0,H$18&gt;0,I$18&gt;0),((SUM(E32:G32)*K$17/SUM(E$18:G$18))+(H32*K$17/H$18)+(I32*K$17/I$18))/3,IF(AND(SUM(E$18:G$18)&gt;0,H$18&gt;0),((SUM(E32:G32)*K$17/SUM(E$18:G$18))+(H32*K$17/H$18))/2,IF(AND(SUM(E$18:G$18)&gt;0,I$18&gt;0),((SUM(E32:G32)*K$17/SUM(E$18:G$18))+(I32*K$17/I$18))/2,IF(AND(H$18&gt;0,I$18&gt;0),((H32*K$17/H$18)+(I32*K$17/I$18))/2,IF(SUM(E$18:G$18)&gt;0,SUM(E32:G32)*K$17/SUM(E$18:G$18),IF(H$18&gt;0,H32*K$17/H$18,IF(I$18&gt;0,I32*K$17/I$18,"-")))))))))),"-")</f>
        <v/>
      </c>
      <c r="K32" s="33" t="str">
        <f t="shared" si="0"/>
        <v/>
      </c>
      <c r="L32" s="34"/>
      <c r="M32" s="34"/>
      <c r="N32" s="34"/>
      <c r="O32" s="33" t="str">
        <f t="shared" si="1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35">
        <v>15</v>
      </c>
      <c r="C33" s="29" t="s">
        <v>53</v>
      </c>
      <c r="D33" s="30" t="s">
        <v>54</v>
      </c>
      <c r="E33" s="34"/>
      <c r="F33" s="34"/>
      <c r="G33" s="34"/>
      <c r="H33" s="34"/>
      <c r="I33" s="34"/>
      <c r="J33" s="32" t="str">
        <f>IFERROR(IF(OR(E33&gt;$E$18,F33&gt;$F$18,G33&gt;$G$18,H33&gt;$H$18,I33&gt;$I$18),"-",IF(OR($H$15="",$O$16="",$K$17="",$O$15=""),"",IF(OR(SUM(E$18:I$110)&lt;=0,$D33=""),"",IF(AND(SUM(E$18:G$18)&gt;0,H$18&gt;0,I$18&gt;0),((SUM(E33:G33)*K$17/SUM(E$18:G$18))+(H33*K$17/H$18)+(I33*K$17/I$18))/3,IF(AND(SUM(E$18:G$18)&gt;0,H$18&gt;0),((SUM(E33:G33)*K$17/SUM(E$18:G$18))+(H33*K$17/H$18))/2,IF(AND(SUM(E$18:G$18)&gt;0,I$18&gt;0),((SUM(E33:G33)*K$17/SUM(E$18:G$18))+(I33*K$17/I$18))/2,IF(AND(H$18&gt;0,I$18&gt;0),((H33*K$17/H$18)+(I33*K$17/I$18))/2,IF(SUM(E$18:G$18)&gt;0,SUM(E33:G33)*K$17/SUM(E$18:G$18),IF(H$18&gt;0,H33*K$17/H$18,IF(I$18&gt;0,I33*K$17/I$18,"-")))))))))),"-")</f>
        <v/>
      </c>
      <c r="K33" s="33" t="str">
        <f t="shared" si="0"/>
        <v/>
      </c>
      <c r="L33" s="34">
        <v>18</v>
      </c>
      <c r="M33" s="34"/>
      <c r="N33" s="34"/>
      <c r="O33" s="33" t="str">
        <f t="shared" si="1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28">
        <v>16</v>
      </c>
      <c r="C34" s="29" t="s">
        <v>55</v>
      </c>
      <c r="D34" s="30" t="s">
        <v>56</v>
      </c>
      <c r="E34" s="31"/>
      <c r="F34" s="31"/>
      <c r="G34" s="31"/>
      <c r="H34" s="31"/>
      <c r="I34" s="31"/>
      <c r="J34" s="32" t="str">
        <f>IFERROR(IF(OR(E34&gt;$E$18,F34&gt;$F$18,G34&gt;$G$18,H34&gt;$H$18,I34&gt;$I$18),"-",IF(OR($H$15="",$O$16="",$K$17="",$O$15=""),"",IF(OR(SUM(E$18:I$110)&lt;=0,$D34=""),"",IF(AND(SUM(E$18:G$18)&gt;0,H$18&gt;0,I$18&gt;0),((SUM(E34:G34)*K$17/SUM(E$18:G$18))+(H34*K$17/H$18)+(I34*K$17/I$18))/3,IF(AND(SUM(E$18:G$18)&gt;0,H$18&gt;0),((SUM(E34:G34)*K$17/SUM(E$18:G$18))+(H34*K$17/H$18))/2,IF(AND(SUM(E$18:G$18)&gt;0,I$18&gt;0),((SUM(E34:G34)*K$17/SUM(E$18:G$18))+(I34*K$17/I$18))/2,IF(AND(H$18&gt;0,I$18&gt;0),((H34*K$17/H$18)+(I34*K$17/I$18))/2,IF(SUM(E$18:G$18)&gt;0,SUM(E34:G34)*K$17/SUM(E$18:G$18),IF(H$18&gt;0,H34*K$17/H$18,IF(I$18&gt;0,I34*K$17/I$18,"-")))))))))),"-")</f>
        <v/>
      </c>
      <c r="K34" s="33" t="str">
        <f t="shared" si="0"/>
        <v/>
      </c>
      <c r="L34" s="34"/>
      <c r="M34" s="34"/>
      <c r="N34" s="34"/>
      <c r="O34" s="33" t="str">
        <f t="shared" si="1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28">
        <v>17</v>
      </c>
      <c r="C35" s="29" t="s">
        <v>57</v>
      </c>
      <c r="D35" s="30" t="s">
        <v>58</v>
      </c>
      <c r="E35" s="34"/>
      <c r="F35" s="34"/>
      <c r="G35" s="34"/>
      <c r="H35" s="34"/>
      <c r="I35" s="34"/>
      <c r="J35" s="32" t="str">
        <f>IFERROR(IF(OR(E35&gt;$E$18,F35&gt;$F$18,G35&gt;$G$18,H35&gt;$H$18,I35&gt;$I$18),"-",IF(OR($H$15="",$O$16="",$K$17="",$O$15=""),"",IF(OR(SUM(E$18:I$110)&lt;=0,$D35=""),"",IF(AND(SUM(E$18:G$18)&gt;0,H$18&gt;0,I$18&gt;0),((SUM(E35:G35)*K$17/SUM(E$18:G$18))+(H35*K$17/H$18)+(I35*K$17/I$18))/3,IF(AND(SUM(E$18:G$18)&gt;0,H$18&gt;0),((SUM(E35:G35)*K$17/SUM(E$18:G$18))+(H35*K$17/H$18))/2,IF(AND(SUM(E$18:G$18)&gt;0,I$18&gt;0),((SUM(E35:G35)*K$17/SUM(E$18:G$18))+(I35*K$17/I$18))/2,IF(AND(H$18&gt;0,I$18&gt;0),((H35*K$17/H$18)+(I35*K$17/I$18))/2,IF(SUM(E$18:G$18)&gt;0,SUM(E35:G35)*K$17/SUM(E$18:G$18),IF(H$18&gt;0,H35*K$17/H$18,IF(I$18&gt;0,I35*K$17/I$18,"-")))))))))),"-")</f>
        <v/>
      </c>
      <c r="K35" s="33" t="str">
        <f t="shared" si="0"/>
        <v/>
      </c>
      <c r="L35" s="34">
        <v>18</v>
      </c>
      <c r="M35" s="34"/>
      <c r="N35" s="34"/>
      <c r="O35" s="33" t="str">
        <f t="shared" si="1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35">
        <v>18</v>
      </c>
      <c r="C36" s="29" t="s">
        <v>59</v>
      </c>
      <c r="D36" s="30" t="s">
        <v>60</v>
      </c>
      <c r="E36" s="31"/>
      <c r="F36" s="31"/>
      <c r="G36" s="31"/>
      <c r="H36" s="31"/>
      <c r="I36" s="31"/>
      <c r="J36" s="32" t="str">
        <f>IFERROR(IF(OR(E36&gt;$E$18,F36&gt;$F$18,G36&gt;$G$18,H36&gt;$H$18,I36&gt;$I$18),"-",IF(OR($H$15="",$O$16="",$K$17="",$O$15=""),"",IF(OR(SUM(E$18:I$110)&lt;=0,$D36=""),"",IF(AND(SUM(E$18:G$18)&gt;0,H$18&gt;0,I$18&gt;0),((SUM(E36:G36)*K$17/SUM(E$18:G$18))+(H36*K$17/H$18)+(I36*K$17/I$18))/3,IF(AND(SUM(E$18:G$18)&gt;0,H$18&gt;0),((SUM(E36:G36)*K$17/SUM(E$18:G$18))+(H36*K$17/H$18))/2,IF(AND(SUM(E$18:G$18)&gt;0,I$18&gt;0),((SUM(E36:G36)*K$17/SUM(E$18:G$18))+(I36*K$17/I$18))/2,IF(AND(H$18&gt;0,I$18&gt;0),((H36*K$17/H$18)+(I36*K$17/I$18))/2,IF(SUM(E$18:G$18)&gt;0,SUM(E36:G36)*K$17/SUM(E$18:G$18),IF(H$18&gt;0,H36*K$17/H$18,IF(I$18&gt;0,I36*K$17/I$18,"-")))))))))),"-")</f>
        <v/>
      </c>
      <c r="K36" s="33" t="str">
        <f t="shared" si="0"/>
        <v/>
      </c>
      <c r="L36" s="34"/>
      <c r="M36" s="34"/>
      <c r="N36" s="34"/>
      <c r="O36" s="33" t="str">
        <f t="shared" si="1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28">
        <v>19</v>
      </c>
      <c r="C37" s="29" t="s">
        <v>61</v>
      </c>
      <c r="D37" s="30" t="s">
        <v>62</v>
      </c>
      <c r="E37" s="34"/>
      <c r="F37" s="34"/>
      <c r="G37" s="34"/>
      <c r="H37" s="34"/>
      <c r="I37" s="34"/>
      <c r="J37" s="32" t="str">
        <f>IFERROR(IF(OR(E37&gt;$E$18,F37&gt;$F$18,G37&gt;$G$18,H37&gt;$H$18,I37&gt;$I$18),"-",IF(OR($H$15="",$O$16="",$K$17="",$O$15=""),"",IF(OR(SUM(E$18:I$110)&lt;=0,$D37=""),"",IF(AND(SUM(E$18:G$18)&gt;0,H$18&gt;0,I$18&gt;0),((SUM(E37:G37)*K$17/SUM(E$18:G$18))+(H37*K$17/H$18)+(I37*K$17/I$18))/3,IF(AND(SUM(E$18:G$18)&gt;0,H$18&gt;0),((SUM(E37:G37)*K$17/SUM(E$18:G$18))+(H37*K$17/H$18))/2,IF(AND(SUM(E$18:G$18)&gt;0,I$18&gt;0),((SUM(E37:G37)*K$17/SUM(E$18:G$18))+(I37*K$17/I$18))/2,IF(AND(H$18&gt;0,I$18&gt;0),((H37*K$17/H$18)+(I37*K$17/I$18))/2,IF(SUM(E$18:G$18)&gt;0,SUM(E37:G37)*K$17/SUM(E$18:G$18),IF(H$18&gt;0,H37*K$17/H$18,IF(I$18&gt;0,I37*K$17/I$18,"-")))))))))),"-")</f>
        <v/>
      </c>
      <c r="K37" s="33" t="str">
        <f t="shared" si="0"/>
        <v/>
      </c>
      <c r="L37" s="34"/>
      <c r="M37" s="34"/>
      <c r="N37" s="34"/>
      <c r="O37" s="33" t="str">
        <f t="shared" si="1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35">
        <v>20</v>
      </c>
      <c r="C38" s="29" t="s">
        <v>63</v>
      </c>
      <c r="D38" s="30" t="s">
        <v>64</v>
      </c>
      <c r="E38" s="34"/>
      <c r="F38" s="34"/>
      <c r="G38" s="34"/>
      <c r="H38" s="34"/>
      <c r="I38" s="34"/>
      <c r="J38" s="32" t="str">
        <f>IFERROR(IF(OR(E38&gt;$E$18,F38&gt;$F$18,G38&gt;$G$18,H38&gt;$H$18,I38&gt;$I$18),"-",IF(OR($H$15="",$O$16="",$K$17="",$O$15=""),"",IF(OR(SUM(E$18:I$110)&lt;=0,$D38=""),"",IF(AND(SUM(E$18:G$18)&gt;0,H$18&gt;0,I$18&gt;0),((SUM(E38:G38)*K$17/SUM(E$18:G$18))+(H38*K$17/H$18)+(I38*K$17/I$18))/3,IF(AND(SUM(E$18:G$18)&gt;0,H$18&gt;0),((SUM(E38:G38)*K$17/SUM(E$18:G$18))+(H38*K$17/H$18))/2,IF(AND(SUM(E$18:G$18)&gt;0,I$18&gt;0),((SUM(E38:G38)*K$17/SUM(E$18:G$18))+(I38*K$17/I$18))/2,IF(AND(H$18&gt;0,I$18&gt;0),((H38*K$17/H$18)+(I38*K$17/I$18))/2,IF(SUM(E$18:G$18)&gt;0,SUM(E38:G38)*K$17/SUM(E$18:G$18),IF(H$18&gt;0,H38*K$17/H$18,IF(I$18&gt;0,I38*K$17/I$18,"-")))))))))),"-")</f>
        <v/>
      </c>
      <c r="K38" s="33" t="str">
        <f t="shared" si="0"/>
        <v/>
      </c>
      <c r="L38" s="34"/>
      <c r="M38" s="34"/>
      <c r="N38" s="34"/>
      <c r="O38" s="33" t="str">
        <f t="shared" si="1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28">
        <v>21</v>
      </c>
      <c r="C39" s="29" t="s">
        <v>65</v>
      </c>
      <c r="D39" s="30" t="s">
        <v>66</v>
      </c>
      <c r="E39" s="31"/>
      <c r="F39" s="31"/>
      <c r="G39" s="31"/>
      <c r="H39" s="31"/>
      <c r="I39" s="31"/>
      <c r="J39" s="32" t="str">
        <f>IFERROR(IF(OR(E39&gt;$E$18,F39&gt;$F$18,G39&gt;$G$18,H39&gt;$H$18,I39&gt;$I$18),"-",IF(OR($H$15="",$O$16="",$K$17="",$O$15=""),"",IF(OR(SUM(E$18:I$110)&lt;=0,$D39=""),"",IF(AND(SUM(E$18:G$18)&gt;0,H$18&gt;0,I$18&gt;0),((SUM(E39:G39)*K$17/SUM(E$18:G$18))+(H39*K$17/H$18)+(I39*K$17/I$18))/3,IF(AND(SUM(E$18:G$18)&gt;0,H$18&gt;0),((SUM(E39:G39)*K$17/SUM(E$18:G$18))+(H39*K$17/H$18))/2,IF(AND(SUM(E$18:G$18)&gt;0,I$18&gt;0),((SUM(E39:G39)*K$17/SUM(E$18:G$18))+(I39*K$17/I$18))/2,IF(AND(H$18&gt;0,I$18&gt;0),((H39*K$17/H$18)+(I39*K$17/I$18))/2,IF(SUM(E$18:G$18)&gt;0,SUM(E39:G39)*K$17/SUM(E$18:G$18),IF(H$18&gt;0,H39*K$17/H$18,IF(I$18&gt;0,I39*K$17/I$18,"-")))))))))),"-")</f>
        <v/>
      </c>
      <c r="K39" s="33" t="str">
        <f t="shared" si="0"/>
        <v/>
      </c>
      <c r="L39" s="34"/>
      <c r="M39" s="34"/>
      <c r="N39" s="34"/>
      <c r="O39" s="33" t="str">
        <f t="shared" si="1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35">
        <v>22</v>
      </c>
      <c r="C40" s="29" t="s">
        <v>67</v>
      </c>
      <c r="D40" s="30" t="s">
        <v>68</v>
      </c>
      <c r="E40" s="34"/>
      <c r="F40" s="34"/>
      <c r="G40" s="34"/>
      <c r="H40" s="34"/>
      <c r="I40" s="34"/>
      <c r="J40" s="32" t="str">
        <f>IFERROR(IF(OR(E40&gt;$E$18,F40&gt;$F$18,G40&gt;$G$18,H40&gt;$H$18,I40&gt;$I$18),"-",IF(OR($H$15="",$O$16="",$K$17="",$O$15=""),"",IF(OR(SUM(E$18:I$110)&lt;=0,$D40=""),"",IF(AND(SUM(E$18:G$18)&gt;0,H$18&gt;0,I$18&gt;0),((SUM(E40:G40)*K$17/SUM(E$18:G$18))+(H40*K$17/H$18)+(I40*K$17/I$18))/3,IF(AND(SUM(E$18:G$18)&gt;0,H$18&gt;0),((SUM(E40:G40)*K$17/SUM(E$18:G$18))+(H40*K$17/H$18))/2,IF(AND(SUM(E$18:G$18)&gt;0,I$18&gt;0),((SUM(E40:G40)*K$17/SUM(E$18:G$18))+(I40*K$17/I$18))/2,IF(AND(H$18&gt;0,I$18&gt;0),((H40*K$17/H$18)+(I40*K$17/I$18))/2,IF(SUM(E$18:G$18)&gt;0,SUM(E40:G40)*K$17/SUM(E$18:G$18),IF(H$18&gt;0,H40*K$17/H$18,IF(I$18&gt;0,I40*K$17/I$18,"-")))))))))),"-")</f>
        <v/>
      </c>
      <c r="K40" s="33" t="str">
        <f t="shared" si="0"/>
        <v/>
      </c>
      <c r="L40" s="34">
        <v>17</v>
      </c>
      <c r="M40" s="34"/>
      <c r="N40" s="34"/>
      <c r="O40" s="33" t="str">
        <f t="shared" si="1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28">
        <v>23</v>
      </c>
      <c r="C41" s="29" t="s">
        <v>69</v>
      </c>
      <c r="D41" s="36" t="s">
        <v>70</v>
      </c>
      <c r="E41" s="37"/>
      <c r="F41" s="37"/>
      <c r="G41" s="37"/>
      <c r="H41" s="37"/>
      <c r="I41" s="37"/>
      <c r="J41" s="32" t="str">
        <f>IFERROR(IF(OR(E41&gt;$E$18,F41&gt;$F$18,G41&gt;$G$18,H41&gt;$H$18,I41&gt;$I$18),"-",IF(OR($H$15="",$O$16="",$K$17="",$O$15=""),"",IF(OR(SUM(E$18:I$110)&lt;=0,$D41=""),"",IF(AND(SUM(E$18:G$18)&gt;0,H$18&gt;0,I$18&gt;0),((SUM(E41:G41)*K$17/SUM(E$18:G$18))+(H41*K$17/H$18)+(I41*K$17/I$18))/3,IF(AND(SUM(E$18:G$18)&gt;0,H$18&gt;0),((SUM(E41:G41)*K$17/SUM(E$18:G$18))+(H41*K$17/H$18))/2,IF(AND(SUM(E$18:G$18)&gt;0,I$18&gt;0),((SUM(E41:G41)*K$17/SUM(E$18:G$18))+(I41*K$17/I$18))/2,IF(AND(H$18&gt;0,I$18&gt;0),((H41*K$17/H$18)+(I41*K$17/I$18))/2,IF(SUM(E$18:G$18)&gt;0,SUM(E41:G41)*K$17/SUM(E$18:G$18),IF(H$18&gt;0,H41*K$17/H$18,IF(I$18&gt;0,I41*K$17/I$18,"-")))))))))),"-")</f>
        <v/>
      </c>
      <c r="K41" s="33" t="str">
        <f t="shared" si="0"/>
        <v/>
      </c>
      <c r="L41" s="34"/>
      <c r="M41" s="34"/>
      <c r="N41" s="34"/>
      <c r="O41" s="33" t="str">
        <f t="shared" si="1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28">
        <v>24</v>
      </c>
      <c r="C42" s="29" t="s">
        <v>71</v>
      </c>
      <c r="D42" s="36" t="s">
        <v>72</v>
      </c>
      <c r="E42" s="37"/>
      <c r="F42" s="37"/>
      <c r="G42" s="37"/>
      <c r="H42" s="37"/>
      <c r="I42" s="37"/>
      <c r="J42" s="32" t="str">
        <f>IFERROR(IF(OR(E42&gt;$E$18,F42&gt;$F$18,G42&gt;$G$18,H42&gt;$H$18,I42&gt;$I$18),"-",IF(OR($H$15="",$O$16="",$K$17="",$O$15=""),"",IF(OR(SUM(E$18:I$110)&lt;=0,$D42=""),"",IF(AND(SUM(E$18:G$18)&gt;0,H$18&gt;0,I$18&gt;0),((SUM(E42:G42)*K$17/SUM(E$18:G$18))+(H42*K$17/H$18)+(I42*K$17/I$18))/3,IF(AND(SUM(E$18:G$18)&gt;0,H$18&gt;0),((SUM(E42:G42)*K$17/SUM(E$18:G$18))+(H42*K$17/H$18))/2,IF(AND(SUM(E$18:G$18)&gt;0,I$18&gt;0),((SUM(E42:G42)*K$17/SUM(E$18:G$18))+(I42*K$17/I$18))/2,IF(AND(H$18&gt;0,I$18&gt;0),((H42*K$17/H$18)+(I42*K$17/I$18))/2,IF(SUM(E$18:G$18)&gt;0,SUM(E42:G42)*K$17/SUM(E$18:G$18),IF(H$18&gt;0,H42*K$17/H$18,IF(I$18&gt;0,I42*K$17/I$18,"-")))))))))),"-")</f>
        <v/>
      </c>
      <c r="K42" s="33" t="str">
        <f t="shared" si="0"/>
        <v/>
      </c>
      <c r="L42" s="34"/>
      <c r="M42" s="34"/>
      <c r="N42" s="34"/>
      <c r="O42" s="33" t="str">
        <f t="shared" si="1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28">
        <v>25</v>
      </c>
      <c r="C43" s="29" t="s">
        <v>73</v>
      </c>
      <c r="D43" s="30" t="s">
        <v>74</v>
      </c>
      <c r="E43" s="34"/>
      <c r="F43" s="34"/>
      <c r="G43" s="34"/>
      <c r="H43" s="34"/>
      <c r="I43" s="34"/>
      <c r="J43" s="32" t="str">
        <f>IFERROR(IF(OR(E43&gt;$E$18,F43&gt;$F$18,G43&gt;$G$18,H43&gt;$H$18,I43&gt;$I$18),"-",IF(OR($H$15="",$O$16="",$K$17="",$O$15=""),"",IF(OR(SUM(E$18:I$110)&lt;=0,$D43=""),"",IF(AND(SUM(E$18:G$18)&gt;0,H$18&gt;0,I$18&gt;0),((SUM(E43:G43)*K$17/SUM(E$18:G$18))+(H43*K$17/H$18)+(I43*K$17/I$18))/3,IF(AND(SUM(E$18:G$18)&gt;0,H$18&gt;0),((SUM(E43:G43)*K$17/SUM(E$18:G$18))+(H43*K$17/H$18))/2,IF(AND(SUM(E$18:G$18)&gt;0,I$18&gt;0),((SUM(E43:G43)*K$17/SUM(E$18:G$18))+(I43*K$17/I$18))/2,IF(AND(H$18&gt;0,I$18&gt;0),((H43*K$17/H$18)+(I43*K$17/I$18))/2,IF(SUM(E$18:G$18)&gt;0,SUM(E43:G43)*K$17/SUM(E$18:G$18),IF(H$18&gt;0,H43*K$17/H$18,IF(I$18&gt;0,I43*K$17/I$18,"-")))))))))),"-")</f>
        <v/>
      </c>
      <c r="K43" s="33" t="str">
        <f t="shared" si="0"/>
        <v/>
      </c>
      <c r="L43" s="34"/>
      <c r="M43" s="34"/>
      <c r="N43" s="34"/>
      <c r="O43" s="33" t="str">
        <f t="shared" si="1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28">
        <v>26</v>
      </c>
      <c r="C44" s="29" t="s">
        <v>75</v>
      </c>
      <c r="D44" s="30" t="s">
        <v>76</v>
      </c>
      <c r="E44" s="31"/>
      <c r="F44" s="31"/>
      <c r="G44" s="31"/>
      <c r="H44" s="31"/>
      <c r="I44" s="31"/>
      <c r="J44" s="32" t="str">
        <f>IFERROR(IF(OR(E44&gt;$E$18,F44&gt;$F$18,G44&gt;$G$18,H44&gt;$H$18,I44&gt;$I$18),"-",IF(OR($H$15="",$O$16="",$K$17="",$O$15=""),"",IF(OR(SUM(E$18:I$110)&lt;=0,$D44=""),"",IF(AND(SUM(E$18:G$18)&gt;0,H$18&gt;0,I$18&gt;0),((SUM(E44:G44)*K$17/SUM(E$18:G$18))+(H44*K$17/H$18)+(I44*K$17/I$18))/3,IF(AND(SUM(E$18:G$18)&gt;0,H$18&gt;0),((SUM(E44:G44)*K$17/SUM(E$18:G$18))+(H44*K$17/H$18))/2,IF(AND(SUM(E$18:G$18)&gt;0,I$18&gt;0),((SUM(E44:G44)*K$17/SUM(E$18:G$18))+(I44*K$17/I$18))/2,IF(AND(H$18&gt;0,I$18&gt;0),((H44*K$17/H$18)+(I44*K$17/I$18))/2,IF(SUM(E$18:G$18)&gt;0,SUM(E44:G44)*K$17/SUM(E$18:G$18),IF(H$18&gt;0,H44*K$17/H$18,IF(I$18&gt;0,I44*K$17/I$18,"-")))))))))),"-")</f>
        <v/>
      </c>
      <c r="K44" s="33" t="str">
        <f t="shared" si="0"/>
        <v/>
      </c>
      <c r="L44" s="34"/>
      <c r="M44" s="34"/>
      <c r="N44" s="34"/>
      <c r="O44" s="33" t="str">
        <f t="shared" si="1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28">
        <v>27</v>
      </c>
      <c r="C45" s="29" t="s">
        <v>77</v>
      </c>
      <c r="D45" s="36" t="s">
        <v>78</v>
      </c>
      <c r="E45" s="37"/>
      <c r="F45" s="37"/>
      <c r="G45" s="37"/>
      <c r="H45" s="37"/>
      <c r="I45" s="37"/>
      <c r="J45" s="32" t="str">
        <f>IFERROR(IF(OR(E45&gt;$E$18,F45&gt;$F$18,G45&gt;$G$18,H45&gt;$H$18,I45&gt;$I$18),"-",IF(OR($H$15="",$O$16="",$K$17="",$O$15=""),"",IF(OR(SUM(E$18:I$110)&lt;=0,$D45=""),"",IF(AND(SUM(E$18:G$18)&gt;0,H$18&gt;0,I$18&gt;0),((SUM(E45:G45)*K$17/SUM(E$18:G$18))+(H45*K$17/H$18)+(I45*K$17/I$18))/3,IF(AND(SUM(E$18:G$18)&gt;0,H$18&gt;0),((SUM(E45:G45)*K$17/SUM(E$18:G$18))+(H45*K$17/H$18))/2,IF(AND(SUM(E$18:G$18)&gt;0,I$18&gt;0),((SUM(E45:G45)*K$17/SUM(E$18:G$18))+(I45*K$17/I$18))/2,IF(AND(H$18&gt;0,I$18&gt;0),((H45*K$17/H$18)+(I45*K$17/I$18))/2,IF(SUM(E$18:G$18)&gt;0,SUM(E45:G45)*K$17/SUM(E$18:G$18),IF(H$18&gt;0,H45*K$17/H$18,IF(I$18&gt;0,I45*K$17/I$18,"-")))))))))),"-")</f>
        <v/>
      </c>
      <c r="K45" s="33" t="str">
        <f t="shared" si="0"/>
        <v/>
      </c>
      <c r="L45" s="34">
        <v>14</v>
      </c>
      <c r="M45" s="34"/>
      <c r="N45" s="34"/>
      <c r="O45" s="33" t="str">
        <f t="shared" si="1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35">
        <v>28</v>
      </c>
      <c r="C46" s="29" t="s">
        <v>79</v>
      </c>
      <c r="D46" s="30" t="s">
        <v>80</v>
      </c>
      <c r="E46" s="34"/>
      <c r="F46" s="34"/>
      <c r="G46" s="34"/>
      <c r="H46" s="34"/>
      <c r="I46" s="34"/>
      <c r="J46" s="32" t="str">
        <f>IFERROR(IF(OR(E46&gt;$E$18,F46&gt;$F$18,G46&gt;$G$18,H46&gt;$H$18,I46&gt;$I$18),"-",IF(OR($H$15="",$O$16="",$K$17="",$O$15=""),"",IF(OR(SUM(E$18:I$110)&lt;=0,$D46=""),"",IF(AND(SUM(E$18:G$18)&gt;0,H$18&gt;0,I$18&gt;0),((SUM(E46:G46)*K$17/SUM(E$18:G$18))+(H46*K$17/H$18)+(I46*K$17/I$18))/3,IF(AND(SUM(E$18:G$18)&gt;0,H$18&gt;0),((SUM(E46:G46)*K$17/SUM(E$18:G$18))+(H46*K$17/H$18))/2,IF(AND(SUM(E$18:G$18)&gt;0,I$18&gt;0),((SUM(E46:G46)*K$17/SUM(E$18:G$18))+(I46*K$17/I$18))/2,IF(AND(H$18&gt;0,I$18&gt;0),((H46*K$17/H$18)+(I46*K$17/I$18))/2,IF(SUM(E$18:G$18)&gt;0,SUM(E46:G46)*K$17/SUM(E$18:G$18),IF(H$18&gt;0,H46*K$17/H$18,IF(I$18&gt;0,I46*K$17/I$18,"-")))))))))),"-")</f>
        <v/>
      </c>
      <c r="K46" s="33" t="str">
        <f t="shared" si="0"/>
        <v/>
      </c>
      <c r="L46" s="34"/>
      <c r="M46" s="34"/>
      <c r="N46" s="34"/>
      <c r="O46" s="33" t="str">
        <f t="shared" si="1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28">
        <v>29</v>
      </c>
      <c r="C47" s="29" t="s">
        <v>81</v>
      </c>
      <c r="D47" s="30" t="s">
        <v>82</v>
      </c>
      <c r="E47" s="31"/>
      <c r="F47" s="31"/>
      <c r="G47" s="31"/>
      <c r="H47" s="31"/>
      <c r="I47" s="31"/>
      <c r="J47" s="32" t="str">
        <f>IFERROR(IF(OR(E47&gt;$E$18,F47&gt;$F$18,G47&gt;$G$18,H47&gt;$H$18,I47&gt;$I$18),"-",IF(OR($H$15="",$O$16="",$K$17="",$O$15=""),"",IF(OR(SUM(E$18:I$110)&lt;=0,$D47=""),"",IF(AND(SUM(E$18:G$18)&gt;0,H$18&gt;0,I$18&gt;0),((SUM(E47:G47)*K$17/SUM(E$18:G$18))+(H47*K$17/H$18)+(I47*K$17/I$18))/3,IF(AND(SUM(E$18:G$18)&gt;0,H$18&gt;0),((SUM(E47:G47)*K$17/SUM(E$18:G$18))+(H47*K$17/H$18))/2,IF(AND(SUM(E$18:G$18)&gt;0,I$18&gt;0),((SUM(E47:G47)*K$17/SUM(E$18:G$18))+(I47*K$17/I$18))/2,IF(AND(H$18&gt;0,I$18&gt;0),((H47*K$17/H$18)+(I47*K$17/I$18))/2,IF(SUM(E$18:G$18)&gt;0,SUM(E47:G47)*K$17/SUM(E$18:G$18),IF(H$18&gt;0,H47*K$17/H$18,IF(I$18&gt;0,I47*K$17/I$18,"-")))))))))),"-")</f>
        <v/>
      </c>
      <c r="K47" s="33" t="str">
        <f t="shared" si="0"/>
        <v/>
      </c>
      <c r="L47" s="34"/>
      <c r="M47" s="34"/>
      <c r="N47" s="34"/>
      <c r="O47" s="33" t="str">
        <f t="shared" si="1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10">
        <v>30</v>
      </c>
      <c r="C48" s="11" t="s">
        <v>83</v>
      </c>
      <c r="D48" s="4" t="s">
        <v>84</v>
      </c>
      <c r="E48" s="39"/>
      <c r="F48" s="39"/>
      <c r="G48" s="39"/>
      <c r="H48" s="39"/>
      <c r="I48" s="39"/>
      <c r="J48" s="10" t="str">
        <f>IFERROR(IF(OR(E48&gt;$E$18,F48&gt;$F$18,G48&gt;$G$18,H48&gt;$H$18,I48&gt;$I$18),"-",IF(OR($H$15="",$O$16="",$K$17="",$O$15=""),"",IF(OR(SUM(E$18:I$110)&lt;=0,$D48=""),"",IF(AND(SUM(E$18:G$18)&gt;0,H$18&gt;0,I$18&gt;0),((SUM(E48:G48)*K$17/SUM(E$18:G$18))+(H48*K$17/H$18)+(I48*K$17/I$18))/3,IF(AND(SUM(E$18:G$18)&gt;0,H$18&gt;0),((SUM(E48:G48)*K$17/SUM(E$18:G$18))+(H48*K$17/H$18))/2,IF(AND(SUM(E$18:G$18)&gt;0,I$18&gt;0),((SUM(E48:G48)*K$17/SUM(E$18:G$18))+(I48*K$17/I$18))/2,IF(AND(H$18&gt;0,I$18&gt;0),((H48*K$17/H$18)+(I48*K$17/I$18))/2,IF(SUM(E$18:G$18)&gt;0,SUM(E48:G48)*K$17/SUM(E$18:G$18),IF(H$18&gt;0,H48*K$17/H$18,IF(I$18&gt;0,I48*K$17/I$18,"-")))))))))),"-")</f>
        <v/>
      </c>
      <c r="K48" s="11" t="str">
        <f t="shared" si="0"/>
        <v/>
      </c>
      <c r="L48" s="39"/>
      <c r="M48" s="39"/>
      <c r="N48" s="39"/>
      <c r="O48" s="11" t="str">
        <f t="shared" si="1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35">
        <v>31</v>
      </c>
      <c r="C49" s="29" t="s">
        <v>85</v>
      </c>
      <c r="D49" s="38" t="s">
        <v>86</v>
      </c>
      <c r="E49" s="34"/>
      <c r="F49" s="34"/>
      <c r="G49" s="34"/>
      <c r="H49" s="34"/>
      <c r="I49" s="34"/>
      <c r="J49" s="32" t="str">
        <f>IFERROR(IF(OR(E49&gt;$E$18,F49&gt;$F$18,G49&gt;$G$18,H49&gt;$H$18,I49&gt;$I$18),"-",IF(OR($H$15="",$O$16="",$K$17="",$O$15=""),"",IF(OR(SUM(E$18:I$110)&lt;=0,$D49=""),"",IF(AND(SUM(E$18:G$18)&gt;0,H$18&gt;0,I$18&gt;0),((SUM(E49:G49)*K$17/SUM(E$18:G$18))+(H49*K$17/H$18)+(I49*K$17/I$18))/3,IF(AND(SUM(E$18:G$18)&gt;0,H$18&gt;0),((SUM(E49:G49)*K$17/SUM(E$18:G$18))+(H49*K$17/H$18))/2,IF(AND(SUM(E$18:G$18)&gt;0,I$18&gt;0),((SUM(E49:G49)*K$17/SUM(E$18:G$18))+(I49*K$17/I$18))/2,IF(AND(H$18&gt;0,I$18&gt;0),((H49*K$17/H$18)+(I49*K$17/I$18))/2,IF(SUM(E$18:G$18)&gt;0,SUM(E49:G49)*K$17/SUM(E$18:G$18),IF(H$18&gt;0,H49*K$17/H$18,IF(I$18&gt;0,I49*K$17/I$18,"-")))))))))),"-")</f>
        <v/>
      </c>
      <c r="K49" s="33" t="str">
        <f t="shared" si="0"/>
        <v/>
      </c>
      <c r="L49" s="34"/>
      <c r="M49" s="34"/>
      <c r="N49" s="34"/>
      <c r="O49" s="33" t="str">
        <f t="shared" si="1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35">
        <v>32</v>
      </c>
      <c r="C50" s="29" t="s">
        <v>87</v>
      </c>
      <c r="D50" s="30" t="s">
        <v>88</v>
      </c>
      <c r="E50" s="31"/>
      <c r="F50" s="31"/>
      <c r="G50" s="31"/>
      <c r="H50" s="31"/>
      <c r="I50" s="31"/>
      <c r="J50" s="32" t="str">
        <f>IFERROR(IF(OR(E50&gt;$E$18,F50&gt;$F$18,G50&gt;$G$18,H50&gt;$H$18,I50&gt;$I$18),"-",IF(OR($H$15="",$O$16="",$K$17="",$O$15=""),"",IF(OR(SUM(E$18:I$110)&lt;=0,$D50=""),"",IF(AND(SUM(E$18:G$18)&gt;0,H$18&gt;0,I$18&gt;0),((SUM(E50:G50)*K$17/SUM(E$18:G$18))+(H50*K$17/H$18)+(I50*K$17/I$18))/3,IF(AND(SUM(E$18:G$18)&gt;0,H$18&gt;0),((SUM(E50:G50)*K$17/SUM(E$18:G$18))+(H50*K$17/H$18))/2,IF(AND(SUM(E$18:G$18)&gt;0,I$18&gt;0),((SUM(E50:G50)*K$17/SUM(E$18:G$18))+(I50*K$17/I$18))/2,IF(AND(H$18&gt;0,I$18&gt;0),((H50*K$17/H$18)+(I50*K$17/I$18))/2,IF(SUM(E$18:G$18)&gt;0,SUM(E50:G50)*K$17/SUM(E$18:G$18),IF(H$18&gt;0,H50*K$17/H$18,IF(I$18&gt;0,I50*K$17/I$18,"-")))))))))),"-")</f>
        <v/>
      </c>
      <c r="K50" s="33" t="str">
        <f t="shared" si="0"/>
        <v/>
      </c>
      <c r="L50" s="34">
        <v>16</v>
      </c>
      <c r="M50" s="34"/>
      <c r="N50" s="34"/>
      <c r="O50" s="33" t="str">
        <f t="shared" si="1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35">
        <v>33</v>
      </c>
      <c r="C51" s="29" t="s">
        <v>89</v>
      </c>
      <c r="D51" s="30" t="s">
        <v>90</v>
      </c>
      <c r="E51" s="34"/>
      <c r="F51" s="34"/>
      <c r="G51" s="34"/>
      <c r="H51" s="34"/>
      <c r="I51" s="34"/>
      <c r="J51" s="32" t="str">
        <f>IFERROR(IF(OR(E51&gt;$E$18,F51&gt;$F$18,G51&gt;$G$18,H51&gt;$H$18,I51&gt;$I$18),"-",IF(OR($H$15="",$O$16="",$K$17="",$O$15=""),"",IF(OR(SUM(E$18:I$110)&lt;=0,$D51=""),"",IF(AND(SUM(E$18:G$18)&gt;0,H$18&gt;0,I$18&gt;0),((SUM(E51:G51)*K$17/SUM(E$18:G$18))+(H51*K$17/H$18)+(I51*K$17/I$18))/3,IF(AND(SUM(E$18:G$18)&gt;0,H$18&gt;0),((SUM(E51:G51)*K$17/SUM(E$18:G$18))+(H51*K$17/H$18))/2,IF(AND(SUM(E$18:G$18)&gt;0,I$18&gt;0),((SUM(E51:G51)*K$17/SUM(E$18:G$18))+(I51*K$17/I$18))/2,IF(AND(H$18&gt;0,I$18&gt;0),((H51*K$17/H$18)+(I51*K$17/I$18))/2,IF(SUM(E$18:G$18)&gt;0,SUM(E51:G51)*K$17/SUM(E$18:G$18),IF(H$18&gt;0,H51*K$17/H$18,IF(I$18&gt;0,I51*K$17/I$18,"-")))))))))),"-")</f>
        <v/>
      </c>
      <c r="K51" s="33" t="str">
        <f t="shared" si="0"/>
        <v/>
      </c>
      <c r="L51" s="34">
        <v>20</v>
      </c>
      <c r="M51" s="34"/>
      <c r="N51" s="34"/>
      <c r="O51" s="33" t="str">
        <f t="shared" si="1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35">
        <v>34</v>
      </c>
      <c r="C52" s="29" t="s">
        <v>91</v>
      </c>
      <c r="D52" s="30" t="s">
        <v>92</v>
      </c>
      <c r="E52" s="31"/>
      <c r="F52" s="31"/>
      <c r="G52" s="31"/>
      <c r="H52" s="31"/>
      <c r="I52" s="31"/>
      <c r="J52" s="32" t="str">
        <f>IFERROR(IF(OR(E52&gt;$E$18,F52&gt;$F$18,G52&gt;$G$18,H52&gt;$H$18,I52&gt;$I$18),"-",IF(OR($H$15="",$O$16="",$K$17="",$O$15=""),"",IF(OR(SUM(E$18:I$110)&lt;=0,$D52=""),"",IF(AND(SUM(E$18:G$18)&gt;0,H$18&gt;0,I$18&gt;0),((SUM(E52:G52)*K$17/SUM(E$18:G$18))+(H52*K$17/H$18)+(I52*K$17/I$18))/3,IF(AND(SUM(E$18:G$18)&gt;0,H$18&gt;0),((SUM(E52:G52)*K$17/SUM(E$18:G$18))+(H52*K$17/H$18))/2,IF(AND(SUM(E$18:G$18)&gt;0,I$18&gt;0),((SUM(E52:G52)*K$17/SUM(E$18:G$18))+(I52*K$17/I$18))/2,IF(AND(H$18&gt;0,I$18&gt;0),((H52*K$17/H$18)+(I52*K$17/I$18))/2,IF(SUM(E$18:G$18)&gt;0,SUM(E52:G52)*K$17/SUM(E$18:G$18),IF(H$18&gt;0,H52*K$17/H$18,IF(I$18&gt;0,I52*K$17/I$18,"-")))))))))),"-")</f>
        <v/>
      </c>
      <c r="K52" s="33" t="str">
        <f t="shared" si="0"/>
        <v/>
      </c>
      <c r="L52" s="34">
        <v>14</v>
      </c>
      <c r="M52" s="34"/>
      <c r="N52" s="34"/>
      <c r="O52" s="33" t="str">
        <f t="shared" si="1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28">
        <v>35</v>
      </c>
      <c r="C53" s="29" t="s">
        <v>93</v>
      </c>
      <c r="D53" s="36" t="s">
        <v>94</v>
      </c>
      <c r="E53" s="37"/>
      <c r="F53" s="37"/>
      <c r="G53" s="37"/>
      <c r="H53" s="37"/>
      <c r="I53" s="37"/>
      <c r="J53" s="32" t="str">
        <f>IFERROR(IF(OR(E53&gt;$E$18,F53&gt;$F$18,G53&gt;$G$18,H53&gt;$H$18,I53&gt;$I$18),"-",IF(OR($H$15="",$O$16="",$K$17="",$O$15=""),"",IF(OR(SUM(E$18:I$110)&lt;=0,$D53=""),"",IF(AND(SUM(E$18:G$18)&gt;0,H$18&gt;0,I$18&gt;0),((SUM(E53:G53)*K$17/SUM(E$18:G$18))+(H53*K$17/H$18)+(I53*K$17/I$18))/3,IF(AND(SUM(E$18:G$18)&gt;0,H$18&gt;0),((SUM(E53:G53)*K$17/SUM(E$18:G$18))+(H53*K$17/H$18))/2,IF(AND(SUM(E$18:G$18)&gt;0,I$18&gt;0),((SUM(E53:G53)*K$17/SUM(E$18:G$18))+(I53*K$17/I$18))/2,IF(AND(H$18&gt;0,I$18&gt;0),((H53*K$17/H$18)+(I53*K$17/I$18))/2,IF(SUM(E$18:G$18)&gt;0,SUM(E53:G53)*K$17/SUM(E$18:G$18),IF(H$18&gt;0,H53*K$17/H$18,IF(I$18&gt;0,I53*K$17/I$18,"-")))))))))),"-")</f>
        <v/>
      </c>
      <c r="K53" s="33" t="str">
        <f t="shared" si="0"/>
        <v/>
      </c>
      <c r="L53" s="34">
        <v>17</v>
      </c>
      <c r="M53" s="34"/>
      <c r="N53" s="34"/>
      <c r="O53" s="33" t="str">
        <f t="shared" si="1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10">
        <v>36</v>
      </c>
      <c r="C54" s="11" t="s">
        <v>95</v>
      </c>
      <c r="D54" s="4" t="s">
        <v>96</v>
      </c>
      <c r="E54" s="39"/>
      <c r="F54" s="39"/>
      <c r="G54" s="39"/>
      <c r="H54" s="39"/>
      <c r="I54" s="39"/>
      <c r="J54" s="10" t="str">
        <f>IFERROR(IF(OR(E54&gt;$E$18,F54&gt;$F$18,G54&gt;$G$18,H54&gt;$H$18,I54&gt;$I$18),"-",IF(OR($H$15="",$O$16="",$K$17="",$O$15=""),"",IF(OR(SUM(E$18:I$110)&lt;=0,$D54=""),"",IF(AND(SUM(E$18:G$18)&gt;0,H$18&gt;0,I$18&gt;0),((SUM(E54:G54)*K$17/SUM(E$18:G$18))+(H54*K$17/H$18)+(I54*K$17/I$18))/3,IF(AND(SUM(E$18:G$18)&gt;0,H$18&gt;0),((SUM(E54:G54)*K$17/SUM(E$18:G$18))+(H54*K$17/H$18))/2,IF(AND(SUM(E$18:G$18)&gt;0,I$18&gt;0),((SUM(E54:G54)*K$17/SUM(E$18:G$18))+(I54*K$17/I$18))/2,IF(AND(H$18&gt;0,I$18&gt;0),((H54*K$17/H$18)+(I54*K$17/I$18))/2,IF(SUM(E$18:G$18)&gt;0,SUM(E54:G54)*K$17/SUM(E$18:G$18),IF(H$18&gt;0,H54*K$17/H$18,IF(I$18&gt;0,I54*K$17/I$18,"-")))))))))),"-")</f>
        <v/>
      </c>
      <c r="K54" s="11" t="str">
        <f t="shared" si="0"/>
        <v/>
      </c>
      <c r="L54" s="39"/>
      <c r="M54" s="39"/>
      <c r="N54" s="39"/>
      <c r="O54" s="11" t="str">
        <f t="shared" si="1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35">
        <v>37</v>
      </c>
      <c r="C55" s="29" t="s">
        <v>97</v>
      </c>
      <c r="D55" s="36" t="s">
        <v>98</v>
      </c>
      <c r="E55" s="37"/>
      <c r="F55" s="37"/>
      <c r="G55" s="37"/>
      <c r="H55" s="37"/>
      <c r="I55" s="37"/>
      <c r="J55" s="32" t="str">
        <f>IFERROR(IF(OR(E55&gt;$E$18,F55&gt;$F$18,G55&gt;$G$18,H55&gt;$H$18,I55&gt;$I$18),"-",IF(OR($H$15="",$O$16="",$K$17="",$O$15=""),"",IF(OR(SUM(E$18:I$110)&lt;=0,$D55=""),"",IF(AND(SUM(E$18:G$18)&gt;0,H$18&gt;0,I$18&gt;0),((SUM(E55:G55)*K$17/SUM(E$18:G$18))+(H55*K$17/H$18)+(I55*K$17/I$18))/3,IF(AND(SUM(E$18:G$18)&gt;0,H$18&gt;0),((SUM(E55:G55)*K$17/SUM(E$18:G$18))+(H55*K$17/H$18))/2,IF(AND(SUM(E$18:G$18)&gt;0,I$18&gt;0),((SUM(E55:G55)*K$17/SUM(E$18:G$18))+(I55*K$17/I$18))/2,IF(AND(H$18&gt;0,I$18&gt;0),((H55*K$17/H$18)+(I55*K$17/I$18))/2,IF(SUM(E$18:G$18)&gt;0,SUM(E55:G55)*K$17/SUM(E$18:G$18),IF(H$18&gt;0,H55*K$17/H$18,IF(I$18&gt;0,I55*K$17/I$18,"-")))))))))),"-")</f>
        <v/>
      </c>
      <c r="K55" s="33" t="str">
        <f t="shared" si="0"/>
        <v/>
      </c>
      <c r="L55" s="34"/>
      <c r="M55" s="34"/>
      <c r="N55" s="34"/>
      <c r="O55" s="33" t="str">
        <f t="shared" si="1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35">
        <v>38</v>
      </c>
      <c r="C56" s="29" t="s">
        <v>99</v>
      </c>
      <c r="D56" s="30" t="s">
        <v>100</v>
      </c>
      <c r="E56" s="34"/>
      <c r="F56" s="34"/>
      <c r="G56" s="34"/>
      <c r="H56" s="34"/>
      <c r="I56" s="34"/>
      <c r="J56" s="32" t="str">
        <f>IFERROR(IF(OR(E56&gt;$E$18,F56&gt;$F$18,G56&gt;$G$18,H56&gt;$H$18,I56&gt;$I$18),"-",IF(OR($H$15="",$O$16="",$K$17="",$O$15=""),"",IF(OR(SUM(E$18:I$110)&lt;=0,$D56=""),"",IF(AND(SUM(E$18:G$18)&gt;0,H$18&gt;0,I$18&gt;0),((SUM(E56:G56)*K$17/SUM(E$18:G$18))+(H56*K$17/H$18)+(I56*K$17/I$18))/3,IF(AND(SUM(E$18:G$18)&gt;0,H$18&gt;0),((SUM(E56:G56)*K$17/SUM(E$18:G$18))+(H56*K$17/H$18))/2,IF(AND(SUM(E$18:G$18)&gt;0,I$18&gt;0),((SUM(E56:G56)*K$17/SUM(E$18:G$18))+(I56*K$17/I$18))/2,IF(AND(H$18&gt;0,I$18&gt;0),((H56*K$17/H$18)+(I56*K$17/I$18))/2,IF(SUM(E$18:G$18)&gt;0,SUM(E56:G56)*K$17/SUM(E$18:G$18),IF(H$18&gt;0,H56*K$17/H$18,IF(I$18&gt;0,I56*K$17/I$18,"-")))))))))),"-")</f>
        <v/>
      </c>
      <c r="K56" s="33" t="str">
        <f t="shared" si="0"/>
        <v/>
      </c>
      <c r="L56" s="34"/>
      <c r="M56" s="34"/>
      <c r="N56" s="34"/>
      <c r="O56" s="33" t="str">
        <f t="shared" si="1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35">
        <v>39</v>
      </c>
      <c r="C57" s="29" t="s">
        <v>101</v>
      </c>
      <c r="D57" s="30" t="s">
        <v>102</v>
      </c>
      <c r="E57" s="34"/>
      <c r="F57" s="34"/>
      <c r="G57" s="34"/>
      <c r="H57" s="34"/>
      <c r="I57" s="34"/>
      <c r="J57" s="32" t="str">
        <f>IFERROR(IF(OR(E57&gt;$E$18,F57&gt;$F$18,G57&gt;$G$18,H57&gt;$H$18,I57&gt;$I$18),"-",IF(OR($H$15="",$O$16="",$K$17="",$O$15=""),"",IF(OR(SUM(E$18:I$110)&lt;=0,$D57=""),"",IF(AND(SUM(E$18:G$18)&gt;0,H$18&gt;0,I$18&gt;0),((SUM(E57:G57)*K$17/SUM(E$18:G$18))+(H57*K$17/H$18)+(I57*K$17/I$18))/3,IF(AND(SUM(E$18:G$18)&gt;0,H$18&gt;0),((SUM(E57:G57)*K$17/SUM(E$18:G$18))+(H57*K$17/H$18))/2,IF(AND(SUM(E$18:G$18)&gt;0,I$18&gt;0),((SUM(E57:G57)*K$17/SUM(E$18:G$18))+(I57*K$17/I$18))/2,IF(AND(H$18&gt;0,I$18&gt;0),((H57*K$17/H$18)+(I57*K$17/I$18))/2,IF(SUM(E$18:G$18)&gt;0,SUM(E57:G57)*K$17/SUM(E$18:G$18),IF(H$18&gt;0,H57*K$17/H$18,IF(I$18&gt;0,I57*K$17/I$18,"-")))))))))),"-")</f>
        <v/>
      </c>
      <c r="K57" s="33" t="str">
        <f t="shared" si="0"/>
        <v/>
      </c>
      <c r="L57" s="34"/>
      <c r="M57" s="34"/>
      <c r="N57" s="34"/>
      <c r="O57" s="33" t="str">
        <f t="shared" si="1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35">
        <v>40</v>
      </c>
      <c r="C58" s="29" t="s">
        <v>103</v>
      </c>
      <c r="D58" s="30" t="s">
        <v>104</v>
      </c>
      <c r="E58" s="31"/>
      <c r="F58" s="31"/>
      <c r="G58" s="31"/>
      <c r="H58" s="31"/>
      <c r="I58" s="31"/>
      <c r="J58" s="32" t="str">
        <f>IFERROR(IF(OR(E58&gt;$E$18,F58&gt;$F$18,G58&gt;$G$18,H58&gt;$H$18,I58&gt;$I$18),"-",IF(OR($H$15="",$O$16="",$K$17="",$O$15=""),"",IF(OR(SUM(E$18:I$110)&lt;=0,$D58=""),"",IF(AND(SUM(E$18:G$18)&gt;0,H$18&gt;0,I$18&gt;0),((SUM(E58:G58)*K$17/SUM(E$18:G$18))+(H58*K$17/H$18)+(I58*K$17/I$18))/3,IF(AND(SUM(E$18:G$18)&gt;0,H$18&gt;0),((SUM(E58:G58)*K$17/SUM(E$18:G$18))+(H58*K$17/H$18))/2,IF(AND(SUM(E$18:G$18)&gt;0,I$18&gt;0),((SUM(E58:G58)*K$17/SUM(E$18:G$18))+(I58*K$17/I$18))/2,IF(AND(H$18&gt;0,I$18&gt;0),((H58*K$17/H$18)+(I58*K$17/I$18))/2,IF(SUM(E$18:G$18)&gt;0,SUM(E58:G58)*K$17/SUM(E$18:G$18),IF(H$18&gt;0,H58*K$17/H$18,IF(I$18&gt;0,I58*K$17/I$18,"-")))))))))),"-")</f>
        <v/>
      </c>
      <c r="K58" s="33" t="str">
        <f t="shared" si="0"/>
        <v/>
      </c>
      <c r="L58" s="34"/>
      <c r="M58" s="34"/>
      <c r="N58" s="34"/>
      <c r="O58" s="33" t="str">
        <f t="shared" si="1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28">
        <v>41</v>
      </c>
      <c r="C59" s="29" t="s">
        <v>105</v>
      </c>
      <c r="D59" s="30" t="s">
        <v>106</v>
      </c>
      <c r="E59" s="31"/>
      <c r="F59" s="31"/>
      <c r="G59" s="31"/>
      <c r="H59" s="31"/>
      <c r="I59" s="31"/>
      <c r="J59" s="32" t="str">
        <f>IFERROR(IF(OR(E59&gt;$E$18,F59&gt;$F$18,G59&gt;$G$18,H59&gt;$H$18,I59&gt;$I$18),"-",IF(OR($H$15="",$O$16="",$K$17="",$O$15=""),"",IF(OR(SUM(E$18:I$110)&lt;=0,$D59=""),"",IF(AND(SUM(E$18:G$18)&gt;0,H$18&gt;0,I$18&gt;0),((SUM(E59:G59)*K$17/SUM(E$18:G$18))+(H59*K$17/H$18)+(I59*K$17/I$18))/3,IF(AND(SUM(E$18:G$18)&gt;0,H$18&gt;0),((SUM(E59:G59)*K$17/SUM(E$18:G$18))+(H59*K$17/H$18))/2,IF(AND(SUM(E$18:G$18)&gt;0,I$18&gt;0),((SUM(E59:G59)*K$17/SUM(E$18:G$18))+(I59*K$17/I$18))/2,IF(AND(H$18&gt;0,I$18&gt;0),((H59*K$17/H$18)+(I59*K$17/I$18))/2,IF(SUM(E$18:G$18)&gt;0,SUM(E59:G59)*K$17/SUM(E$18:G$18),IF(H$18&gt;0,H59*K$17/H$18,IF(I$18&gt;0,I59*K$17/I$18,"-")))))))))),"-")</f>
        <v/>
      </c>
      <c r="K59" s="33" t="str">
        <f t="shared" si="0"/>
        <v/>
      </c>
      <c r="L59" s="34"/>
      <c r="M59" s="34"/>
      <c r="N59" s="34"/>
      <c r="O59" s="33" t="str">
        <f t="shared" si="1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35">
        <v>42</v>
      </c>
      <c r="C60" s="29" t="s">
        <v>107</v>
      </c>
      <c r="D60" s="30" t="s">
        <v>108</v>
      </c>
      <c r="E60" s="31"/>
      <c r="F60" s="31"/>
      <c r="G60" s="31"/>
      <c r="H60" s="31"/>
      <c r="I60" s="31"/>
      <c r="J60" s="32" t="str">
        <f>IFERROR(IF(OR(E60&gt;$E$18,F60&gt;$F$18,G60&gt;$G$18,H60&gt;$H$18,I60&gt;$I$18),"-",IF(OR($H$15="",$O$16="",$K$17="",$O$15=""),"",IF(OR(SUM(E$18:I$110)&lt;=0,$D60=""),"",IF(AND(SUM(E$18:G$18)&gt;0,H$18&gt;0,I$18&gt;0),((SUM(E60:G60)*K$17/SUM(E$18:G$18))+(H60*K$17/H$18)+(I60*K$17/I$18))/3,IF(AND(SUM(E$18:G$18)&gt;0,H$18&gt;0),((SUM(E60:G60)*K$17/SUM(E$18:G$18))+(H60*K$17/H$18))/2,IF(AND(SUM(E$18:G$18)&gt;0,I$18&gt;0),((SUM(E60:G60)*K$17/SUM(E$18:G$18))+(I60*K$17/I$18))/2,IF(AND(H$18&gt;0,I$18&gt;0),((H60*K$17/H$18)+(I60*K$17/I$18))/2,IF(SUM(E$18:G$18)&gt;0,SUM(E60:G60)*K$17/SUM(E$18:G$18),IF(H$18&gt;0,H60*K$17/H$18,IF(I$18&gt;0,I60*K$17/I$18,"-")))))))))),"-")</f>
        <v/>
      </c>
      <c r="K60" s="33" t="str">
        <f t="shared" si="0"/>
        <v/>
      </c>
      <c r="L60" s="34"/>
      <c r="M60" s="34"/>
      <c r="N60" s="34"/>
      <c r="O60" s="33" t="str">
        <f t="shared" si="1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28">
        <v>43</v>
      </c>
      <c r="C61" s="29" t="s">
        <v>109</v>
      </c>
      <c r="D61" s="36" t="s">
        <v>110</v>
      </c>
      <c r="E61" s="37"/>
      <c r="F61" s="37"/>
      <c r="G61" s="37"/>
      <c r="H61" s="37"/>
      <c r="I61" s="37"/>
      <c r="J61" s="32" t="str">
        <f>IFERROR(IF(OR(E61&gt;$E$18,F61&gt;$F$18,G61&gt;$G$18,H61&gt;$H$18,I61&gt;$I$18),"-",IF(OR($H$15="",$O$16="",$K$17="",$O$15=""),"",IF(OR(SUM(E$18:I$110)&lt;=0,$D61=""),"",IF(AND(SUM(E$18:G$18)&gt;0,H$18&gt;0,I$18&gt;0),((SUM(E61:G61)*K$17/SUM(E$18:G$18))+(H61*K$17/H$18)+(I61*K$17/I$18))/3,IF(AND(SUM(E$18:G$18)&gt;0,H$18&gt;0),((SUM(E61:G61)*K$17/SUM(E$18:G$18))+(H61*K$17/H$18))/2,IF(AND(SUM(E$18:G$18)&gt;0,I$18&gt;0),((SUM(E61:G61)*K$17/SUM(E$18:G$18))+(I61*K$17/I$18))/2,IF(AND(H$18&gt;0,I$18&gt;0),((H61*K$17/H$18)+(I61*K$17/I$18))/2,IF(SUM(E$18:G$18)&gt;0,SUM(E61:G61)*K$17/SUM(E$18:G$18),IF(H$18&gt;0,H61*K$17/H$18,IF(I$18&gt;0,I61*K$17/I$18,"-")))))))))),"-")</f>
        <v/>
      </c>
      <c r="K61" s="33" t="str">
        <f t="shared" si="0"/>
        <v/>
      </c>
      <c r="L61" s="34"/>
      <c r="M61" s="34"/>
      <c r="N61" s="34"/>
      <c r="O61" s="33" t="str">
        <f t="shared" si="1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35">
        <v>44</v>
      </c>
      <c r="C62" s="29" t="s">
        <v>111</v>
      </c>
      <c r="D62" s="36" t="s">
        <v>112</v>
      </c>
      <c r="E62" s="37"/>
      <c r="F62" s="37"/>
      <c r="G62" s="37"/>
      <c r="H62" s="37"/>
      <c r="I62" s="37"/>
      <c r="J62" s="32" t="str">
        <f>IFERROR(IF(OR(E62&gt;$E$18,F62&gt;$F$18,G62&gt;$G$18,H62&gt;$H$18,I62&gt;$I$18),"-",IF(OR($H$15="",$O$16="",$K$17="",$O$15=""),"",IF(OR(SUM(E$18:I$110)&lt;=0,$D62=""),"",IF(AND(SUM(E$18:G$18)&gt;0,H$18&gt;0,I$18&gt;0),((SUM(E62:G62)*K$17/SUM(E$18:G$18))+(H62*K$17/H$18)+(I62*K$17/I$18))/3,IF(AND(SUM(E$18:G$18)&gt;0,H$18&gt;0),((SUM(E62:G62)*K$17/SUM(E$18:G$18))+(H62*K$17/H$18))/2,IF(AND(SUM(E$18:G$18)&gt;0,I$18&gt;0),((SUM(E62:G62)*K$17/SUM(E$18:G$18))+(I62*K$17/I$18))/2,IF(AND(H$18&gt;0,I$18&gt;0),((H62*K$17/H$18)+(I62*K$17/I$18))/2,IF(SUM(E$18:G$18)&gt;0,SUM(E62:G62)*K$17/SUM(E$18:G$18),IF(H$18&gt;0,H62*K$17/H$18,IF(I$18&gt;0,I62*K$17/I$18,"-")))))))))),"-")</f>
        <v/>
      </c>
      <c r="K62" s="33" t="str">
        <f t="shared" si="0"/>
        <v/>
      </c>
      <c r="L62" s="34">
        <v>14</v>
      </c>
      <c r="M62" s="34"/>
      <c r="N62" s="34"/>
      <c r="O62" s="33" t="str">
        <f t="shared" si="1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10">
        <v>45</v>
      </c>
      <c r="C63" s="11" t="s">
        <v>113</v>
      </c>
      <c r="D63" s="4" t="s">
        <v>114</v>
      </c>
      <c r="E63" s="39"/>
      <c r="F63" s="39"/>
      <c r="G63" s="39"/>
      <c r="H63" s="39"/>
      <c r="I63" s="39"/>
      <c r="J63" s="10" t="str">
        <f>IFERROR(IF(OR(E63&gt;$E$18,F63&gt;$F$18,G63&gt;$G$18,H63&gt;$H$18,I63&gt;$I$18),"-",IF(OR($H$15="",$O$16="",$K$17="",$O$15=""),"",IF(OR(SUM(E$18:I$110)&lt;=0,$D63=""),"",IF(AND(SUM(E$18:G$18)&gt;0,H$18&gt;0,I$18&gt;0),((SUM(E63:G63)*K$17/SUM(E$18:G$18))+(H63*K$17/H$18)+(I63*K$17/I$18))/3,IF(AND(SUM(E$18:G$18)&gt;0,H$18&gt;0),((SUM(E63:G63)*K$17/SUM(E$18:G$18))+(H63*K$17/H$18))/2,IF(AND(SUM(E$18:G$18)&gt;0,I$18&gt;0),((SUM(E63:G63)*K$17/SUM(E$18:G$18))+(I63*K$17/I$18))/2,IF(AND(H$18&gt;0,I$18&gt;0),((H63*K$17/H$18)+(I63*K$17/I$18))/2,IF(SUM(E$18:G$18)&gt;0,SUM(E63:G63)*K$17/SUM(E$18:G$18),IF(H$18&gt;0,H63*K$17/H$18,IF(I$18&gt;0,I63*K$17/I$18,"-")))))))))),"-")</f>
        <v/>
      </c>
      <c r="K63" s="11" t="str">
        <f t="shared" si="0"/>
        <v/>
      </c>
      <c r="L63" s="39"/>
      <c r="M63" s="39"/>
      <c r="N63" s="39"/>
      <c r="O63" s="11" t="str">
        <f t="shared" si="1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28">
        <v>46</v>
      </c>
      <c r="C64" s="29" t="s">
        <v>115</v>
      </c>
      <c r="D64" s="30" t="s">
        <v>116</v>
      </c>
      <c r="E64" s="34"/>
      <c r="F64" s="34"/>
      <c r="G64" s="34"/>
      <c r="H64" s="34"/>
      <c r="I64" s="34"/>
      <c r="J64" s="32" t="str">
        <f>IFERROR(IF(OR(E64&gt;$E$18,F64&gt;$F$18,G64&gt;$G$18,H64&gt;$H$18,I64&gt;$I$18),"-",IF(OR($H$15="",$O$16="",$K$17="",$O$15=""),"",IF(OR(SUM(E$18:I$110)&lt;=0,$D64=""),"",IF(AND(SUM(E$18:G$18)&gt;0,H$18&gt;0,I$18&gt;0),((SUM(E64:G64)*K$17/SUM(E$18:G$18))+(H64*K$17/H$18)+(I64*K$17/I$18))/3,IF(AND(SUM(E$18:G$18)&gt;0,H$18&gt;0),((SUM(E64:G64)*K$17/SUM(E$18:G$18))+(H64*K$17/H$18))/2,IF(AND(SUM(E$18:G$18)&gt;0,I$18&gt;0),((SUM(E64:G64)*K$17/SUM(E$18:G$18))+(I64*K$17/I$18))/2,IF(AND(H$18&gt;0,I$18&gt;0),((H64*K$17/H$18)+(I64*K$17/I$18))/2,IF(SUM(E$18:G$18)&gt;0,SUM(E64:G64)*K$17/SUM(E$18:G$18),IF(H$18&gt;0,H64*K$17/H$18,IF(I$18&gt;0,I64*K$17/I$18,"-")))))))))),"-")</f>
        <v/>
      </c>
      <c r="K64" s="33" t="str">
        <f t="shared" si="0"/>
        <v/>
      </c>
      <c r="L64" s="34">
        <v>13</v>
      </c>
      <c r="M64" s="34"/>
      <c r="N64" s="34"/>
      <c r="O64" s="33" t="str">
        <f t="shared" si="1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35">
        <v>47</v>
      </c>
      <c r="C65" s="29" t="s">
        <v>117</v>
      </c>
      <c r="D65" s="30" t="s">
        <v>118</v>
      </c>
      <c r="E65" s="31"/>
      <c r="F65" s="31"/>
      <c r="G65" s="31"/>
      <c r="H65" s="31"/>
      <c r="I65" s="31"/>
      <c r="J65" s="32" t="str">
        <f>IFERROR(IF(OR(E65&gt;$E$18,F65&gt;$F$18,G65&gt;$G$18,H65&gt;$H$18,I65&gt;$I$18),"-",IF(OR($H$15="",$O$16="",$K$17="",$O$15=""),"",IF(OR(SUM(E$18:I$110)&lt;=0,$D65=""),"",IF(AND(SUM(E$18:G$18)&gt;0,H$18&gt;0,I$18&gt;0),((SUM(E65:G65)*K$17/SUM(E$18:G$18))+(H65*K$17/H$18)+(I65*K$17/I$18))/3,IF(AND(SUM(E$18:G$18)&gt;0,H$18&gt;0),((SUM(E65:G65)*K$17/SUM(E$18:G$18))+(H65*K$17/H$18))/2,IF(AND(SUM(E$18:G$18)&gt;0,I$18&gt;0),((SUM(E65:G65)*K$17/SUM(E$18:G$18))+(I65*K$17/I$18))/2,IF(AND(H$18&gt;0,I$18&gt;0),((H65*K$17/H$18)+(I65*K$17/I$18))/2,IF(SUM(E$18:G$18)&gt;0,SUM(E65:G65)*K$17/SUM(E$18:G$18),IF(H$18&gt;0,H65*K$17/H$18,IF(I$18&gt;0,I65*K$17/I$18,"-")))))))))),"-")</f>
        <v/>
      </c>
      <c r="K65" s="33" t="str">
        <f t="shared" si="0"/>
        <v/>
      </c>
      <c r="L65" s="34">
        <v>17</v>
      </c>
      <c r="M65" s="34"/>
      <c r="N65" s="34"/>
      <c r="O65" s="33" t="str">
        <f t="shared" si="1"/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28">
        <v>48</v>
      </c>
      <c r="C66" s="29" t="s">
        <v>119</v>
      </c>
      <c r="D66" s="30" t="s">
        <v>120</v>
      </c>
      <c r="E66" s="31"/>
      <c r="F66" s="31"/>
      <c r="G66" s="31"/>
      <c r="H66" s="31"/>
      <c r="I66" s="31"/>
      <c r="J66" s="32" t="str">
        <f>IFERROR(IF(OR(E66&gt;$E$18,F66&gt;$F$18,G66&gt;$G$18,H66&gt;$H$18,I66&gt;$I$18),"-",IF(OR($H$15="",$O$16="",$K$17="",$O$15=""),"",IF(OR(SUM(E$18:I$110)&lt;=0,$D66=""),"",IF(AND(SUM(E$18:G$18)&gt;0,H$18&gt;0,I$18&gt;0),((SUM(E66:G66)*K$17/SUM(E$18:G$18))+(H66*K$17/H$18)+(I66*K$17/I$18))/3,IF(AND(SUM(E$18:G$18)&gt;0,H$18&gt;0),((SUM(E66:G66)*K$17/SUM(E$18:G$18))+(H66*K$17/H$18))/2,IF(AND(SUM(E$18:G$18)&gt;0,I$18&gt;0),((SUM(E66:G66)*K$17/SUM(E$18:G$18))+(I66*K$17/I$18))/2,IF(AND(H$18&gt;0,I$18&gt;0),((H66*K$17/H$18)+(I66*K$17/I$18))/2,IF(SUM(E$18:G$18)&gt;0,SUM(E66:G66)*K$17/SUM(E$18:G$18),IF(H$18&gt;0,H66*K$17/H$18,IF(I$18&gt;0,I66*K$17/I$18,"-")))))))))),"-")</f>
        <v/>
      </c>
      <c r="K66" s="33" t="str">
        <f t="shared" si="0"/>
        <v/>
      </c>
      <c r="L66" s="34"/>
      <c r="M66" s="34"/>
      <c r="N66" s="34"/>
      <c r="O66" s="33" t="str">
        <f t="shared" si="1"/>
        <v/>
      </c>
      <c r="P66" s="9"/>
      <c r="Q66" s="9"/>
      <c r="R66" s="9"/>
      <c r="S66" s="9"/>
      <c r="T66" s="9"/>
      <c r="W66" s="4">
        <v>48</v>
      </c>
      <c r="X66" s="4" t="s">
        <v>121</v>
      </c>
      <c r="Y66" s="4" t="s">
        <v>122</v>
      </c>
      <c r="AC66" s="4">
        <v>50</v>
      </c>
      <c r="AE66" s="4">
        <v>12.5</v>
      </c>
      <c r="AF66" s="4" t="s">
        <v>123</v>
      </c>
      <c r="AJ66" s="4" t="s">
        <v>124</v>
      </c>
    </row>
    <row r="67" spans="1:36" ht="13.5" customHeight="1" x14ac:dyDescent="0.25">
      <c r="A67" s="9"/>
      <c r="B67" s="28">
        <v>49</v>
      </c>
      <c r="C67" s="29" t="s">
        <v>125</v>
      </c>
      <c r="D67" s="36" t="s">
        <v>126</v>
      </c>
      <c r="E67" s="37"/>
      <c r="F67" s="37"/>
      <c r="G67" s="37"/>
      <c r="H67" s="37"/>
      <c r="I67" s="37"/>
      <c r="J67" s="32" t="str">
        <f>IFERROR(IF(OR(E67&gt;$E$18,F67&gt;$F$18,G67&gt;$G$18,H67&gt;$H$18,I67&gt;$I$18),"-",IF(OR($H$15="",$O$16="",$K$17="",$O$15=""),"",IF(OR(SUM(E$18:I$110)&lt;=0,$D67=""),"",IF(AND(SUM(E$18:G$18)&gt;0,H$18&gt;0,I$18&gt;0),((SUM(E67:G67)*K$17/SUM(E$18:G$18))+(H67*K$17/H$18)+(I67*K$17/I$18))/3,IF(AND(SUM(E$18:G$18)&gt;0,H$18&gt;0),((SUM(E67:G67)*K$17/SUM(E$18:G$18))+(H67*K$17/H$18))/2,IF(AND(SUM(E$18:G$18)&gt;0,I$18&gt;0),((SUM(E67:G67)*K$17/SUM(E$18:G$18))+(I67*K$17/I$18))/2,IF(AND(H$18&gt;0,I$18&gt;0),((H67*K$17/H$18)+(I67*K$17/I$18))/2,IF(SUM(E$18:G$18)&gt;0,SUM(E67:G67)*K$17/SUM(E$18:G$18),IF(H$18&gt;0,H67*K$17/H$18,IF(I$18&gt;0,I67*K$17/I$18,"-")))))))))),"-")</f>
        <v/>
      </c>
      <c r="K67" s="33" t="str">
        <f t="shared" si="0"/>
        <v/>
      </c>
      <c r="L67" s="34">
        <v>16</v>
      </c>
      <c r="M67" s="34"/>
      <c r="N67" s="34"/>
      <c r="O67" s="33" t="str">
        <f t="shared" si="1"/>
        <v/>
      </c>
      <c r="P67" s="9"/>
      <c r="Q67" s="9"/>
      <c r="R67" s="9"/>
      <c r="S67" s="9"/>
      <c r="T67" s="9"/>
      <c r="W67" s="4">
        <v>49</v>
      </c>
      <c r="X67" s="4" t="s">
        <v>127</v>
      </c>
      <c r="Y67" s="4" t="s">
        <v>128</v>
      </c>
      <c r="Z67" s="4">
        <v>9</v>
      </c>
      <c r="AC67" s="4">
        <v>40</v>
      </c>
      <c r="AE67" s="4">
        <v>32.5</v>
      </c>
      <c r="AF67" s="4" t="s">
        <v>129</v>
      </c>
      <c r="AJ67" s="4" t="s">
        <v>130</v>
      </c>
    </row>
    <row r="68" spans="1:36" ht="13.5" customHeight="1" x14ac:dyDescent="0.25">
      <c r="A68" s="9"/>
      <c r="B68" s="28">
        <v>50</v>
      </c>
      <c r="C68" s="29" t="s">
        <v>131</v>
      </c>
      <c r="D68" s="30" t="s">
        <v>132</v>
      </c>
      <c r="E68" s="31"/>
      <c r="F68" s="31"/>
      <c r="G68" s="31"/>
      <c r="H68" s="31"/>
      <c r="I68" s="31"/>
      <c r="J68" s="32" t="str">
        <f>IFERROR(IF(OR(E68&gt;$E$18,F68&gt;$F$18,G68&gt;$G$18,H68&gt;$H$18,I68&gt;$I$18),"-",IF(OR($H$15="",$O$16="",$K$17="",$O$15=""),"",IF(OR(SUM(E$18:I$110)&lt;=0,$D68=""),"",IF(AND(SUM(E$18:G$18)&gt;0,H$18&gt;0,I$18&gt;0),((SUM(E68:G68)*K$17/SUM(E$18:G$18))+(H68*K$17/H$18)+(I68*K$17/I$18))/3,IF(AND(SUM(E$18:G$18)&gt;0,H$18&gt;0),((SUM(E68:G68)*K$17/SUM(E$18:G$18))+(H68*K$17/H$18))/2,IF(AND(SUM(E$18:G$18)&gt;0,I$18&gt;0),((SUM(E68:G68)*K$17/SUM(E$18:G$18))+(I68*K$17/I$18))/2,IF(AND(H$18&gt;0,I$18&gt;0),((H68*K$17/H$18)+(I68*K$17/I$18))/2,IF(SUM(E$18:G$18)&gt;0,SUM(E68:G68)*K$17/SUM(E$18:G$18),IF(H$18&gt;0,H68*K$17/H$18,IF(I$18&gt;0,I68*K$17/I$18,"-")))))))))),"-")</f>
        <v/>
      </c>
      <c r="K68" s="33" t="str">
        <f t="shared" si="0"/>
        <v/>
      </c>
      <c r="L68" s="34"/>
      <c r="M68" s="34"/>
      <c r="N68" s="34"/>
      <c r="O68" s="33" t="str">
        <f t="shared" si="1"/>
        <v/>
      </c>
      <c r="P68" s="9"/>
      <c r="Q68" s="9"/>
      <c r="R68" s="9"/>
      <c r="S68" s="9"/>
      <c r="T68" s="9"/>
    </row>
    <row r="69" spans="1:36" ht="13.5" customHeight="1" x14ac:dyDescent="0.25">
      <c r="A69" s="9"/>
      <c r="B69" s="35">
        <v>51</v>
      </c>
      <c r="C69" s="29" t="s">
        <v>133</v>
      </c>
      <c r="D69" s="36" t="s">
        <v>134</v>
      </c>
      <c r="E69" s="37"/>
      <c r="F69" s="37"/>
      <c r="G69" s="37"/>
      <c r="H69" s="37"/>
      <c r="I69" s="37"/>
      <c r="J69" s="32" t="str">
        <f>IFERROR(IF(OR(E69&gt;$E$18,F69&gt;$F$18,G69&gt;$G$18,H69&gt;$H$18,I69&gt;$I$18),"-",IF(OR($H$15="",$O$16="",$K$17="",$O$15=""),"",IF(OR(SUM(E$18:I$110)&lt;=0,$D69=""),"",IF(AND(SUM(E$18:G$18)&gt;0,H$18&gt;0,I$18&gt;0),((SUM(E69:G69)*K$17/SUM(E$18:G$18))+(H69*K$17/H$18)+(I69*K$17/I$18))/3,IF(AND(SUM(E$18:G$18)&gt;0,H$18&gt;0),((SUM(E69:G69)*K$17/SUM(E$18:G$18))+(H69*K$17/H$18))/2,IF(AND(SUM(E$18:G$18)&gt;0,I$18&gt;0),((SUM(E69:G69)*K$17/SUM(E$18:G$18))+(I69*K$17/I$18))/2,IF(AND(H$18&gt;0,I$18&gt;0),((H69*K$17/H$18)+(I69*K$17/I$18))/2,IF(SUM(E$18:G$18)&gt;0,SUM(E69:G69)*K$17/SUM(E$18:G$18),IF(H$18&gt;0,H69*K$17/H$18,IF(I$18&gt;0,I69*K$17/I$18,"-")))))))))),"-")</f>
        <v/>
      </c>
      <c r="K69" s="33" t="str">
        <f t="shared" si="0"/>
        <v/>
      </c>
      <c r="L69" s="34">
        <v>14</v>
      </c>
      <c r="M69" s="34"/>
      <c r="N69" s="34"/>
      <c r="O69" s="33" t="str">
        <f t="shared" si="1"/>
        <v/>
      </c>
      <c r="P69" s="9"/>
      <c r="Q69" s="9"/>
      <c r="R69" s="9"/>
      <c r="S69" s="9"/>
      <c r="T69" s="9"/>
    </row>
    <row r="70" spans="1:36" ht="13.5" customHeight="1" x14ac:dyDescent="0.25">
      <c r="A70" s="9"/>
      <c r="B70" s="35">
        <v>52</v>
      </c>
      <c r="C70" s="29" t="s">
        <v>135</v>
      </c>
      <c r="D70" s="36" t="s">
        <v>136</v>
      </c>
      <c r="E70" s="37"/>
      <c r="F70" s="37"/>
      <c r="G70" s="37"/>
      <c r="H70" s="37"/>
      <c r="I70" s="37"/>
      <c r="J70" s="32" t="str">
        <f>IFERROR(IF(OR(E70&gt;$E$18,F70&gt;$F$18,G70&gt;$G$18,H70&gt;$H$18,I70&gt;$I$18),"-",IF(OR($H$15="",$O$16="",$K$17="",$O$15=""),"",IF(OR(SUM(E$18:I$110)&lt;=0,$D70=""),"",IF(AND(SUM(E$18:G$18)&gt;0,H$18&gt;0,I$18&gt;0),((SUM(E70:G70)*K$17/SUM(E$18:G$18))+(H70*K$17/H$18)+(I70*K$17/I$18))/3,IF(AND(SUM(E$18:G$18)&gt;0,H$18&gt;0),((SUM(E70:G70)*K$17/SUM(E$18:G$18))+(H70*K$17/H$18))/2,IF(AND(SUM(E$18:G$18)&gt;0,I$18&gt;0),((SUM(E70:G70)*K$17/SUM(E$18:G$18))+(I70*K$17/I$18))/2,IF(AND(H$18&gt;0,I$18&gt;0),((H70*K$17/H$18)+(I70*K$17/I$18))/2,IF(SUM(E$18:G$18)&gt;0,SUM(E70:G70)*K$17/SUM(E$18:G$18),IF(H$18&gt;0,H70*K$17/H$18,IF(I$18&gt;0,I70*K$17/I$18,"-")))))))))),"-")</f>
        <v/>
      </c>
      <c r="K70" s="33" t="str">
        <f t="shared" si="0"/>
        <v/>
      </c>
      <c r="L70" s="34"/>
      <c r="M70" s="34"/>
      <c r="N70" s="34"/>
      <c r="O70" s="33" t="str">
        <f t="shared" si="1"/>
        <v/>
      </c>
      <c r="P70" s="9"/>
      <c r="Q70" s="9"/>
      <c r="R70" s="9"/>
      <c r="S70" s="9"/>
      <c r="T70" s="9"/>
    </row>
    <row r="71" spans="1:36" ht="13.5" customHeight="1" x14ac:dyDescent="0.25">
      <c r="A71" s="9"/>
      <c r="B71" s="10">
        <v>53</v>
      </c>
      <c r="C71" s="11" t="s">
        <v>137</v>
      </c>
      <c r="D71" s="4" t="s">
        <v>138</v>
      </c>
      <c r="E71" s="39"/>
      <c r="F71" s="39"/>
      <c r="G71" s="39"/>
      <c r="H71" s="39"/>
      <c r="I71" s="39"/>
      <c r="J71" s="10" t="str">
        <f>IFERROR(IF(OR(E71&gt;$E$18,F71&gt;$F$18,G71&gt;$G$18,H71&gt;$H$18,I71&gt;$I$18),"-",IF(OR($H$15="",$O$16="",$K$17="",$O$15=""),"",IF(OR(SUM(E$18:I$110)&lt;=0,$D71=""),"",IF(AND(SUM(E$18:G$18)&gt;0,H$18&gt;0,I$18&gt;0),((SUM(E71:G71)*K$17/SUM(E$18:G$18))+(H71*K$17/H$18)+(I71*K$17/I$18))/3,IF(AND(SUM(E$18:G$18)&gt;0,H$18&gt;0),((SUM(E71:G71)*K$17/SUM(E$18:G$18))+(H71*K$17/H$18))/2,IF(AND(SUM(E$18:G$18)&gt;0,I$18&gt;0),((SUM(E71:G71)*K$17/SUM(E$18:G$18))+(I71*K$17/I$18))/2,IF(AND(H$18&gt;0,I$18&gt;0),((H71*K$17/H$18)+(I71*K$17/I$18))/2,IF(SUM(E$18:G$18)&gt;0,SUM(E71:G71)*K$17/SUM(E$18:G$18),IF(H$18&gt;0,H71*K$17/H$18,IF(I$18&gt;0,I71*K$17/I$18,"-")))))))))),"-")</f>
        <v/>
      </c>
      <c r="K71" s="11" t="str">
        <f t="shared" si="0"/>
        <v/>
      </c>
      <c r="L71" s="39">
        <v>16</v>
      </c>
      <c r="M71" s="39"/>
      <c r="N71" s="39"/>
      <c r="O71" s="11" t="str">
        <f t="shared" si="1"/>
        <v/>
      </c>
      <c r="P71" s="9"/>
      <c r="Q71" s="9"/>
      <c r="R71" s="9"/>
      <c r="S71" s="9"/>
      <c r="T71" s="9"/>
    </row>
    <row r="72" spans="1:36" ht="13.5" customHeight="1" x14ac:dyDescent="0.25">
      <c r="A72" s="9"/>
      <c r="B72" s="10">
        <v>54</v>
      </c>
      <c r="C72" s="11" t="s">
        <v>139</v>
      </c>
      <c r="D72" s="4" t="s">
        <v>140</v>
      </c>
      <c r="E72" s="39"/>
      <c r="F72" s="39"/>
      <c r="G72" s="39"/>
      <c r="H72" s="39"/>
      <c r="I72" s="39"/>
      <c r="J72" s="10" t="str">
        <f>IFERROR(IF(OR(E72&gt;$E$18,F72&gt;$F$18,G72&gt;$G$18,H72&gt;$H$18,I72&gt;$I$18),"-",IF(OR($H$15="",$O$16="",$K$17="",$O$15=""),"",IF(OR(SUM(E$18:I$110)&lt;=0,$D72=""),"",IF(AND(SUM(E$18:G$18)&gt;0,H$18&gt;0,I$18&gt;0),((SUM(E72:G72)*K$17/SUM(E$18:G$18))+(H72*K$17/H$18)+(I72*K$17/I$18))/3,IF(AND(SUM(E$18:G$18)&gt;0,H$18&gt;0),((SUM(E72:G72)*K$17/SUM(E$18:G$18))+(H72*K$17/H$18))/2,IF(AND(SUM(E$18:G$18)&gt;0,I$18&gt;0),((SUM(E72:G72)*K$17/SUM(E$18:G$18))+(I72*K$17/I$18))/2,IF(AND(H$18&gt;0,I$18&gt;0),((H72*K$17/H$18)+(I72*K$17/I$18))/2,IF(SUM(E$18:G$18)&gt;0,SUM(E72:G72)*K$17/SUM(E$18:G$18),IF(H$18&gt;0,H72*K$17/H$18,IF(I$18&gt;0,I72*K$17/I$18,"-")))))))))),"-")</f>
        <v/>
      </c>
      <c r="K72" s="11" t="str">
        <f t="shared" si="0"/>
        <v/>
      </c>
      <c r="L72" s="39"/>
      <c r="M72" s="39"/>
      <c r="N72" s="39"/>
      <c r="O72" s="11" t="str">
        <f t="shared" si="1"/>
        <v/>
      </c>
      <c r="P72" s="9"/>
      <c r="Q72" s="9"/>
      <c r="R72" s="9"/>
      <c r="S72" s="9"/>
      <c r="T72" s="9"/>
    </row>
    <row r="73" spans="1:36" ht="13.5" customHeight="1" x14ac:dyDescent="0.25">
      <c r="A73" s="9"/>
      <c r="B73" s="28">
        <v>55</v>
      </c>
      <c r="C73" s="29" t="s">
        <v>141</v>
      </c>
      <c r="D73" s="30" t="s">
        <v>142</v>
      </c>
      <c r="E73" s="34"/>
      <c r="F73" s="34"/>
      <c r="G73" s="34"/>
      <c r="H73" s="34"/>
      <c r="I73" s="34"/>
      <c r="J73" s="32" t="str">
        <f>IFERROR(IF(OR(E73&gt;$E$18,F73&gt;$F$18,G73&gt;$G$18,H73&gt;$H$18,I73&gt;$I$18),"-",IF(OR($H$15="",$O$16="",$K$17="",$O$15=""),"",IF(OR(SUM(E$18:I$110)&lt;=0,$D73=""),"",IF(AND(SUM(E$18:G$18)&gt;0,H$18&gt;0,I$18&gt;0),((SUM(E73:G73)*K$17/SUM(E$18:G$18))+(H73*K$17/H$18)+(I73*K$17/I$18))/3,IF(AND(SUM(E$18:G$18)&gt;0,H$18&gt;0),((SUM(E73:G73)*K$17/SUM(E$18:G$18))+(H73*K$17/H$18))/2,IF(AND(SUM(E$18:G$18)&gt;0,I$18&gt;0),((SUM(E73:G73)*K$17/SUM(E$18:G$18))+(I73*K$17/I$18))/2,IF(AND(H$18&gt;0,I$18&gt;0),((H73*K$17/H$18)+(I73*K$17/I$18))/2,IF(SUM(E$18:G$18)&gt;0,SUM(E73:G73)*K$17/SUM(E$18:G$18),IF(H$18&gt;0,H73*K$17/H$18,IF(I$18&gt;0,I73*K$17/I$18,"-")))))))))),"-")</f>
        <v/>
      </c>
      <c r="K73" s="33" t="str">
        <f t="shared" si="0"/>
        <v/>
      </c>
      <c r="L73" s="34">
        <v>18</v>
      </c>
      <c r="M73" s="34"/>
      <c r="N73" s="34"/>
      <c r="O73" s="33" t="str">
        <f t="shared" si="1"/>
        <v/>
      </c>
      <c r="P73" s="9"/>
      <c r="Q73" s="9"/>
      <c r="R73" s="9"/>
      <c r="S73" s="9"/>
      <c r="T73" s="9"/>
    </row>
    <row r="74" spans="1:36" ht="13.5" customHeight="1" x14ac:dyDescent="0.25">
      <c r="A74" s="9"/>
      <c r="B74" s="28">
        <v>56</v>
      </c>
      <c r="C74" s="29" t="s">
        <v>143</v>
      </c>
      <c r="D74" s="30" t="s">
        <v>144</v>
      </c>
      <c r="E74" s="31"/>
      <c r="F74" s="31"/>
      <c r="G74" s="31"/>
      <c r="H74" s="31"/>
      <c r="I74" s="31"/>
      <c r="J74" s="32" t="str">
        <f>IFERROR(IF(OR(E74&gt;$E$18,F74&gt;$F$18,G74&gt;$G$18,H74&gt;$H$18,I74&gt;$I$18),"-",IF(OR($H$15="",$O$16="",$K$17="",$O$15=""),"",IF(OR(SUM(E$18:I$110)&lt;=0,$D74=""),"",IF(AND(SUM(E$18:G$18)&gt;0,H$18&gt;0,I$18&gt;0),((SUM(E74:G74)*K$17/SUM(E$18:G$18))+(H74*K$17/H$18)+(I74*K$17/I$18))/3,IF(AND(SUM(E$18:G$18)&gt;0,H$18&gt;0),((SUM(E74:G74)*K$17/SUM(E$18:G$18))+(H74*K$17/H$18))/2,IF(AND(SUM(E$18:G$18)&gt;0,I$18&gt;0),((SUM(E74:G74)*K$17/SUM(E$18:G$18))+(I74*K$17/I$18))/2,IF(AND(H$18&gt;0,I$18&gt;0),((H74*K$17/H$18)+(I74*K$17/I$18))/2,IF(SUM(E$18:G$18)&gt;0,SUM(E74:G74)*K$17/SUM(E$18:G$18),IF(H$18&gt;0,H74*K$17/H$18,IF(I$18&gt;0,I74*K$17/I$18,"-")))))))))),"-")</f>
        <v/>
      </c>
      <c r="K74" s="33" t="str">
        <f t="shared" si="0"/>
        <v/>
      </c>
      <c r="L74" s="34"/>
      <c r="M74" s="34"/>
      <c r="N74" s="34"/>
      <c r="O74" s="33" t="str">
        <f t="shared" si="1"/>
        <v/>
      </c>
      <c r="P74" s="9"/>
      <c r="Q74" s="9"/>
      <c r="R74" s="9"/>
      <c r="S74" s="9"/>
      <c r="T74" s="9"/>
    </row>
    <row r="75" spans="1:36" ht="13.5" customHeight="1" x14ac:dyDescent="0.25">
      <c r="A75" s="9"/>
      <c r="B75" s="28">
        <v>57</v>
      </c>
      <c r="C75" s="29" t="s">
        <v>145</v>
      </c>
      <c r="D75" s="36" t="s">
        <v>146</v>
      </c>
      <c r="E75" s="37"/>
      <c r="F75" s="37"/>
      <c r="G75" s="37"/>
      <c r="H75" s="37"/>
      <c r="I75" s="37"/>
      <c r="J75" s="32" t="str">
        <f>IFERROR(IF(OR(E75&gt;$E$18,F75&gt;$F$18,G75&gt;$G$18,H75&gt;$H$18,I75&gt;$I$18),"-",IF(OR($H$15="",$O$16="",$K$17="",$O$15=""),"",IF(OR(SUM(E$18:I$110)&lt;=0,$D75=""),"",IF(AND(SUM(E$18:G$18)&gt;0,H$18&gt;0,I$18&gt;0),((SUM(E75:G75)*K$17/SUM(E$18:G$18))+(H75*K$17/H$18)+(I75*K$17/I$18))/3,IF(AND(SUM(E$18:G$18)&gt;0,H$18&gt;0),((SUM(E75:G75)*K$17/SUM(E$18:G$18))+(H75*K$17/H$18))/2,IF(AND(SUM(E$18:G$18)&gt;0,I$18&gt;0),((SUM(E75:G75)*K$17/SUM(E$18:G$18))+(I75*K$17/I$18))/2,IF(AND(H$18&gt;0,I$18&gt;0),((H75*K$17/H$18)+(I75*K$17/I$18))/2,IF(SUM(E$18:G$18)&gt;0,SUM(E75:G75)*K$17/SUM(E$18:G$18),IF(H$18&gt;0,H75*K$17/H$18,IF(I$18&gt;0,I75*K$17/I$18,"-")))))))))),"-")</f>
        <v/>
      </c>
      <c r="K75" s="33" t="str">
        <f t="shared" si="0"/>
        <v/>
      </c>
      <c r="L75" s="34">
        <v>17</v>
      </c>
      <c r="M75" s="34"/>
      <c r="N75" s="34"/>
      <c r="O75" s="33" t="str">
        <f t="shared" si="1"/>
        <v/>
      </c>
      <c r="P75" s="9"/>
      <c r="Q75" s="9"/>
      <c r="R75" s="9"/>
      <c r="S75" s="9"/>
      <c r="T75" s="9"/>
    </row>
    <row r="76" spans="1:36" ht="13.5" customHeight="1" x14ac:dyDescent="0.25">
      <c r="A76" s="9"/>
      <c r="B76" s="28">
        <v>58</v>
      </c>
      <c r="C76" s="29" t="s">
        <v>147</v>
      </c>
      <c r="D76" s="36" t="s">
        <v>148</v>
      </c>
      <c r="E76" s="37"/>
      <c r="F76" s="37"/>
      <c r="G76" s="37"/>
      <c r="H76" s="37"/>
      <c r="I76" s="37"/>
      <c r="J76" s="32" t="str">
        <f>IFERROR(IF(OR(E76&gt;$E$18,F76&gt;$F$18,G76&gt;$G$18,H76&gt;$H$18,I76&gt;$I$18),"-",IF(OR($H$15="",$O$16="",$K$17="",$O$15=""),"",IF(OR(SUM(E$18:I$110)&lt;=0,$D76=""),"",IF(AND(SUM(E$18:G$18)&gt;0,H$18&gt;0,I$18&gt;0),((SUM(E76:G76)*K$17/SUM(E$18:G$18))+(H76*K$17/H$18)+(I76*K$17/I$18))/3,IF(AND(SUM(E$18:G$18)&gt;0,H$18&gt;0),((SUM(E76:G76)*K$17/SUM(E$18:G$18))+(H76*K$17/H$18))/2,IF(AND(SUM(E$18:G$18)&gt;0,I$18&gt;0),((SUM(E76:G76)*K$17/SUM(E$18:G$18))+(I76*K$17/I$18))/2,IF(AND(H$18&gt;0,I$18&gt;0),((H76*K$17/H$18)+(I76*K$17/I$18))/2,IF(SUM(E$18:G$18)&gt;0,SUM(E76:G76)*K$17/SUM(E$18:G$18),IF(H$18&gt;0,H76*K$17/H$18,IF(I$18&gt;0,I76*K$17/I$18,"-")))))))))),"-")</f>
        <v/>
      </c>
      <c r="K76" s="33" t="str">
        <f t="shared" si="0"/>
        <v/>
      </c>
      <c r="L76" s="34">
        <v>17</v>
      </c>
      <c r="M76" s="34"/>
      <c r="N76" s="34"/>
      <c r="O76" s="33" t="str">
        <f t="shared" si="1"/>
        <v/>
      </c>
      <c r="P76" s="9"/>
      <c r="Q76" s="9"/>
      <c r="R76" s="9"/>
      <c r="S76" s="9"/>
      <c r="T76" s="9"/>
    </row>
    <row r="77" spans="1:36" ht="13.5" customHeight="1" x14ac:dyDescent="0.25">
      <c r="A77" s="9"/>
      <c r="B77" s="35">
        <v>59</v>
      </c>
      <c r="C77" s="29" t="s">
        <v>149</v>
      </c>
      <c r="D77" s="36" t="s">
        <v>150</v>
      </c>
      <c r="E77" s="37"/>
      <c r="F77" s="37"/>
      <c r="G77" s="37"/>
      <c r="H77" s="37"/>
      <c r="I77" s="37"/>
      <c r="J77" s="32" t="str">
        <f>IFERROR(IF(OR(E77&gt;$E$18,F77&gt;$F$18,G77&gt;$G$18,H77&gt;$H$18,I77&gt;$I$18),"-",IF(OR($H$15="",$O$16="",$K$17="",$O$15=""),"",IF(OR(SUM(E$18:I$110)&lt;=0,$D77=""),"",IF(AND(SUM(E$18:G$18)&gt;0,H$18&gt;0,I$18&gt;0),((SUM(E77:G77)*K$17/SUM(E$18:G$18))+(H77*K$17/H$18)+(I77*K$17/I$18))/3,IF(AND(SUM(E$18:G$18)&gt;0,H$18&gt;0),((SUM(E77:G77)*K$17/SUM(E$18:G$18))+(H77*K$17/H$18))/2,IF(AND(SUM(E$18:G$18)&gt;0,I$18&gt;0),((SUM(E77:G77)*K$17/SUM(E$18:G$18))+(I77*K$17/I$18))/2,IF(AND(H$18&gt;0,I$18&gt;0),((H77*K$17/H$18)+(I77*K$17/I$18))/2,IF(SUM(E$18:G$18)&gt;0,SUM(E77:G77)*K$17/SUM(E$18:G$18),IF(H$18&gt;0,H77*K$17/H$18,IF(I$18&gt;0,I77*K$17/I$18,"-")))))))))),"-")</f>
        <v/>
      </c>
      <c r="K77" s="33" t="str">
        <f t="shared" si="0"/>
        <v/>
      </c>
      <c r="L77" s="34">
        <v>15</v>
      </c>
      <c r="M77" s="34"/>
      <c r="N77" s="34"/>
      <c r="O77" s="33" t="str">
        <f t="shared" si="1"/>
        <v/>
      </c>
      <c r="P77" s="9"/>
      <c r="Q77" s="9"/>
      <c r="R77" s="9"/>
      <c r="S77" s="9"/>
      <c r="T77" s="9"/>
    </row>
    <row r="78" spans="1:36" ht="13.5" customHeight="1" x14ac:dyDescent="0.25">
      <c r="A78" s="9"/>
      <c r="B78" s="28">
        <v>60</v>
      </c>
      <c r="C78" s="29" t="s">
        <v>151</v>
      </c>
      <c r="D78" s="30" t="s">
        <v>152</v>
      </c>
      <c r="E78" s="31"/>
      <c r="F78" s="31"/>
      <c r="G78" s="31"/>
      <c r="H78" s="31"/>
      <c r="I78" s="31"/>
      <c r="J78" s="32" t="str">
        <f>IFERROR(IF(OR(E78&gt;$E$18,F78&gt;$F$18,G78&gt;$G$18,H78&gt;$H$18,I78&gt;$I$18),"-",IF(OR($H$15="",$O$16="",$K$17="",$O$15=""),"",IF(OR(SUM(E$18:I$110)&lt;=0,$D78=""),"",IF(AND(SUM(E$18:G$18)&gt;0,H$18&gt;0,I$18&gt;0),((SUM(E78:G78)*K$17/SUM(E$18:G$18))+(H78*K$17/H$18)+(I78*K$17/I$18))/3,IF(AND(SUM(E$18:G$18)&gt;0,H$18&gt;0),((SUM(E78:G78)*K$17/SUM(E$18:G$18))+(H78*K$17/H$18))/2,IF(AND(SUM(E$18:G$18)&gt;0,I$18&gt;0),((SUM(E78:G78)*K$17/SUM(E$18:G$18))+(I78*K$17/I$18))/2,IF(AND(H$18&gt;0,I$18&gt;0),((H78*K$17/H$18)+(I78*K$17/I$18))/2,IF(SUM(E$18:G$18)&gt;0,SUM(E78:G78)*K$17/SUM(E$18:G$18),IF(H$18&gt;0,H78*K$17/H$18,IF(I$18&gt;0,I78*K$17/I$18,"-")))))))))),"-")</f>
        <v/>
      </c>
      <c r="K78" s="33" t="str">
        <f t="shared" si="0"/>
        <v/>
      </c>
      <c r="L78" s="34"/>
      <c r="M78" s="34"/>
      <c r="N78" s="34"/>
      <c r="O78" s="33" t="str">
        <f t="shared" si="1"/>
        <v/>
      </c>
      <c r="P78" s="9"/>
      <c r="Q78" s="9"/>
      <c r="R78" s="9"/>
      <c r="S78" s="9"/>
      <c r="T78" s="9"/>
    </row>
    <row r="79" spans="1:36" ht="13.5" customHeight="1" x14ac:dyDescent="0.25">
      <c r="A79" s="9"/>
      <c r="B79" s="35">
        <v>61</v>
      </c>
      <c r="C79" s="29" t="s">
        <v>153</v>
      </c>
      <c r="D79" s="30" t="s">
        <v>154</v>
      </c>
      <c r="E79" s="31"/>
      <c r="F79" s="31"/>
      <c r="G79" s="31"/>
      <c r="H79" s="31"/>
      <c r="I79" s="31"/>
      <c r="J79" s="32" t="str">
        <f>IFERROR(IF(OR(E79&gt;$E$18,F79&gt;$F$18,G79&gt;$G$18,H79&gt;$H$18,I79&gt;$I$18),"-",IF(OR($H$15="",$O$16="",$K$17="",$O$15=""),"",IF(OR(SUM(E$18:I$110)&lt;=0,$D79=""),"",IF(AND(SUM(E$18:G$18)&gt;0,H$18&gt;0,I$18&gt;0),((SUM(E79:G79)*K$17/SUM(E$18:G$18))+(H79*K$17/H$18)+(I79*K$17/I$18))/3,IF(AND(SUM(E$18:G$18)&gt;0,H$18&gt;0),((SUM(E79:G79)*K$17/SUM(E$18:G$18))+(H79*K$17/H$18))/2,IF(AND(SUM(E$18:G$18)&gt;0,I$18&gt;0),((SUM(E79:G79)*K$17/SUM(E$18:G$18))+(I79*K$17/I$18))/2,IF(AND(H$18&gt;0,I$18&gt;0),((H79*K$17/H$18)+(I79*K$17/I$18))/2,IF(SUM(E$18:G$18)&gt;0,SUM(E79:G79)*K$17/SUM(E$18:G$18),IF(H$18&gt;0,H79*K$17/H$18,IF(I$18&gt;0,I79*K$17/I$18,"-")))))))))),"-")</f>
        <v/>
      </c>
      <c r="K79" s="33" t="str">
        <f>IF($O$15="","",IF(ISTEXT(J79),"",IF(J79&gt;=$K$17*$P$15,"Competent","Not yet Competent")))</f>
        <v/>
      </c>
      <c r="L79" s="34">
        <v>14</v>
      </c>
      <c r="M79" s="34"/>
      <c r="N79" s="34"/>
      <c r="O79" s="33" t="str">
        <f>IFERROR(IF(AND(ISNUMBER(J79),J79&gt;=$K$17*$P$15)," ",IF(AND(J79&gt;0,$O$16&lt;&gt;"Not yet Taught",$D79&lt;&gt;"",J79="-"),"Not yet Assessed",IF(AND($O$16="Completed",$D79&lt;&gt;"",$L$18&gt;0,L79&gt;0,L79&gt;=$L$18*$P$15),"Competent",IF(AND($O$16="Completed",$M$18&gt;0,$D79&lt;&gt;"",M79&gt;0,M79&gt;=$M$18*$P$15),"Competent",IF(AND($O$16="Completed",$N$18&gt;0,$D79&lt;&gt;"",N79&gt;0,N79&gt;=$N$18*$P$15),"Competent",IF(AND($O$16="Completed",$D79&lt;&gt;"",L79&lt;$N$18*$P$15),"Re-Assessment",IF(AND($O$16="Completed",SUM($N$18:$N$18)&lt;=0,$D79&lt;&gt;"",L79&lt;=0,M79&lt;=0,N79&lt;=0),"Re-Assessment",IF(AND(J79&gt;0,$D79&lt;&gt;"",$O$16="Ongoing"),"Ongoing","")))))))),"")</f>
        <v/>
      </c>
      <c r="P79" s="9"/>
      <c r="Q79" s="9"/>
      <c r="R79" s="9"/>
      <c r="S79" s="9"/>
      <c r="T79" s="9"/>
    </row>
    <row r="80" spans="1:36" ht="13.5" customHeight="1" x14ac:dyDescent="0.25">
      <c r="A80" s="9"/>
      <c r="B80" s="35">
        <v>62</v>
      </c>
      <c r="C80" s="29">
        <v>3</v>
      </c>
      <c r="D80" s="30" t="s">
        <v>160</v>
      </c>
      <c r="E80" s="31"/>
      <c r="F80" s="31"/>
      <c r="G80" s="31"/>
      <c r="H80" s="31"/>
      <c r="I80" s="31"/>
      <c r="J80" s="32" t="str">
        <f>IFERROR(IF(OR(E80&gt;$E$18,F80&gt;$F$18,G80&gt;$G$18,H80&gt;$H$18,I80&gt;$I$18),"-",IF(OR($H$15="",$O$16="",$K$17="",$O$15=""),"",IF(OR(SUM(E$18:I$110)&lt;=0,$D80=""),"",IF(AND(SUM(E$18:G$18)&gt;0,H$18&gt;0,I$18&gt;0),((SUM(E80:G80)*K$17/SUM(E$18:G$18))+(H80*K$17/H$18)+(I80*K$17/I$18))/3,IF(AND(SUM(E$18:G$18)&gt;0,H$18&gt;0),((SUM(E80:G80)*K$17/SUM(E$18:G$18))+(H80*K$17/H$18))/2,IF(AND(SUM(E$18:G$18)&gt;0,I$18&gt;0),((SUM(E80:G80)*K$17/SUM(E$18:G$18))+(I80*K$17/I$18))/2,IF(AND(H$18&gt;0,I$18&gt;0),((H80*K$17/H$18)+(I80*K$17/I$18))/2,IF(SUM(E$18:G$18)&gt;0,SUM(E80:G80)*K$17/SUM(E$18:G$18),IF(H$18&gt;0,H80*K$17/H$18,IF(I$18&gt;0,I80*K$17/I$18,"-")))))))))),"-")</f>
        <v/>
      </c>
      <c r="K80" s="33" t="str">
        <f>IF($O$15="","",IF(ISTEXT(J80),"",IF(J80&gt;=$K$17*$P$15,"Competent","Not yet Competent")))</f>
        <v/>
      </c>
      <c r="L80" s="34">
        <v>11</v>
      </c>
      <c r="M80" s="34"/>
      <c r="N80" s="34"/>
      <c r="O80" s="33" t="str">
        <f>IFERROR(IF(AND(ISNUMBER(J80),J80&gt;=$K$17*$P$15)," ",IF(AND(J80&gt;0,$O$16&lt;&gt;"Not yet Taught",$D80&lt;&gt;"",J80="-"),"Not yet Assessed",IF(AND($O$16="Completed",$D80&lt;&gt;"",$L$18&gt;0,L80&gt;0,L80&gt;=$L$18*$P$15),"Competent",IF(AND($O$16="Completed",$M$18&gt;0,$D80&lt;&gt;"",M80&gt;0,M80&gt;=$M$18*$P$15),"Competent",IF(AND($O$16="Completed",$N$18&gt;0,$D80&lt;&gt;"",N80&gt;0,N80&gt;=$N$18*$P$15),"Competent",IF(AND($O$16="Completed",$D80&lt;&gt;"",L80&lt;$N$18*$P$15),"Re-Assessment",IF(AND($O$16="Completed",SUM($N$18:$N$18)&lt;=0,$D80&lt;&gt;"",L80&lt;=0,M80&lt;=0,N80&lt;=0),"Re-Assessment",IF(AND(J80&gt;0,$D80&lt;&gt;"",$O$16="Ongoing"),"Ongoing","")))))))),"")</f>
        <v/>
      </c>
      <c r="P80" s="9"/>
      <c r="Q80" s="9"/>
      <c r="R80" s="9"/>
      <c r="S80" s="9"/>
      <c r="T80" s="9"/>
    </row>
    <row r="81" spans="1:20" ht="13.5" customHeight="1" x14ac:dyDescent="0.25">
      <c r="A81" s="9"/>
      <c r="B81" s="35">
        <v>61</v>
      </c>
      <c r="C81" s="29">
        <v>3</v>
      </c>
      <c r="D81" s="30" t="s">
        <v>161</v>
      </c>
      <c r="E81" s="31"/>
      <c r="F81" s="31"/>
      <c r="G81" s="31"/>
      <c r="H81" s="31"/>
      <c r="I81" s="31"/>
      <c r="J81" s="32" t="str">
        <f>IFERROR(IF(OR(E81&gt;$E$18,F81&gt;$F$18,G81&gt;$G$18,H81&gt;$H$18,I81&gt;$I$18),"-",IF(OR($H$15="",$O$16="",$K$17="",$O$15=""),"",IF(OR(SUM(E$18:I$110)&lt;=0,$D81=""),"",IF(AND(SUM(E$18:G$18)&gt;0,H$18&gt;0,I$18&gt;0),((SUM(E81:G81)*K$17/SUM(E$18:G$18))+(H81*K$17/H$18)+(I81*K$17/I$18))/3,IF(AND(SUM(E$18:G$18)&gt;0,H$18&gt;0),((SUM(E81:G81)*K$17/SUM(E$18:G$18))+(H81*K$17/H$18))/2,IF(AND(SUM(E$18:G$18)&gt;0,I$18&gt;0),((SUM(E81:G81)*K$17/SUM(E$18:G$18))+(I81*K$17/I$18))/2,IF(AND(H$18&gt;0,I$18&gt;0),((H81*K$17/H$18)+(I81*K$17/I$18))/2,IF(SUM(E$18:G$18)&gt;0,SUM(E81:G81)*K$17/SUM(E$18:G$18),IF(H$18&gt;0,H81*K$17/H$18,IF(I$18&gt;0,I81*K$17/I$18,"-")))))))))),"-")</f>
        <v/>
      </c>
      <c r="K81" s="33" t="str">
        <f>IF($O$15="","",IF(ISTEXT(J81),"",IF(J81&gt;=$K$17*$P$15,"Competent","Not yet Competent")))</f>
        <v/>
      </c>
      <c r="L81" s="34">
        <v>16</v>
      </c>
      <c r="M81" s="34"/>
      <c r="N81" s="34"/>
      <c r="O81" s="33" t="str">
        <f>IFERROR(IF(AND(ISNUMBER(J81),J81&gt;=$K$17*$P$15)," ",IF(AND(J81&gt;0,$O$16&lt;&gt;"Not yet Taught",$D81&lt;&gt;"",J81="-"),"Not yet Assessed",IF(AND($O$16="Completed",$D81&lt;&gt;"",$L$18&gt;0,L81&gt;0,L81&gt;=$L$18*$P$15),"Competent",IF(AND($O$16="Completed",$M$18&gt;0,$D81&lt;&gt;"",M81&gt;0,M81&gt;=$M$18*$P$15),"Competent",IF(AND($O$16="Completed",$N$18&gt;0,$D81&lt;&gt;"",N81&gt;0,N81&gt;=$N$18*$P$15),"Competent",IF(AND($O$16="Completed",$D81&lt;&gt;"",L81&lt;$N$18*$P$15),"Re-Assessment",IF(AND($O$16="Completed",SUM($N$18:$N$18)&lt;=0,$D81&lt;&gt;"",L81&lt;=0,M81&lt;=0,N81&lt;=0),"Re-Assessment",IF(AND(J81&gt;0,$D81&lt;&gt;"",$O$16="Ongoing"),"Ongoing","")))))))),"")</f>
        <v/>
      </c>
      <c r="P81" s="9"/>
      <c r="Q81" s="9"/>
      <c r="R81" s="9"/>
      <c r="S81" s="9"/>
      <c r="T81" s="9"/>
    </row>
    <row r="82" spans="1:20" ht="13.5" customHeight="1" x14ac:dyDescent="0.25">
      <c r="A82" s="9"/>
      <c r="B82" s="35"/>
      <c r="C82" s="29"/>
      <c r="D82" s="36"/>
      <c r="E82" s="37"/>
      <c r="F82" s="37"/>
      <c r="G82" s="37"/>
      <c r="H82" s="37"/>
      <c r="I82" s="37"/>
      <c r="J82" s="32"/>
      <c r="K82" s="33"/>
      <c r="L82" s="34"/>
      <c r="M82" s="34"/>
      <c r="N82" s="34"/>
      <c r="O82" s="33"/>
      <c r="P82" s="9"/>
      <c r="Q82" s="9"/>
      <c r="R82" s="9"/>
      <c r="S82" s="9"/>
      <c r="T82" s="9"/>
    </row>
    <row r="83" spans="1:20" ht="13.5" customHeight="1" x14ac:dyDescent="0.25">
      <c r="A83" s="9"/>
      <c r="B83" s="28"/>
      <c r="C83" s="29"/>
      <c r="D83" s="30"/>
      <c r="E83" s="34"/>
      <c r="F83" s="34"/>
      <c r="G83" s="34"/>
      <c r="H83" s="34"/>
      <c r="I83" s="34"/>
      <c r="J83" s="32"/>
      <c r="K83" s="33"/>
      <c r="L83" s="34"/>
      <c r="M83" s="34"/>
      <c r="N83" s="34"/>
      <c r="O83" s="33"/>
      <c r="P83" s="9"/>
      <c r="Q83" s="9"/>
      <c r="R83" s="9"/>
      <c r="S83" s="9"/>
      <c r="T83" s="9"/>
    </row>
    <row r="84" spans="1:20" ht="13.5" customHeight="1" x14ac:dyDescent="0.25">
      <c r="A84" s="9"/>
      <c r="B84" s="35"/>
      <c r="C84" s="29"/>
      <c r="D84" s="30"/>
      <c r="E84" s="34"/>
      <c r="F84" s="34"/>
      <c r="G84" s="34"/>
      <c r="H84" s="34"/>
      <c r="I84" s="34"/>
      <c r="J84" s="32"/>
      <c r="K84" s="33"/>
      <c r="L84" s="34"/>
      <c r="M84" s="34"/>
      <c r="N84" s="34"/>
      <c r="O84" s="33"/>
      <c r="P84" s="9"/>
      <c r="Q84" s="9"/>
      <c r="R84" s="9"/>
      <c r="S84" s="9"/>
      <c r="T84" s="9"/>
    </row>
    <row r="85" spans="1:20" ht="13.5" customHeight="1" x14ac:dyDescent="0.25">
      <c r="A85" s="9"/>
      <c r="B85" s="28"/>
      <c r="C85" s="29"/>
      <c r="D85" s="36"/>
      <c r="E85" s="37"/>
      <c r="F85" s="37"/>
      <c r="G85" s="37"/>
      <c r="H85" s="37"/>
      <c r="I85" s="37"/>
      <c r="J85" s="32"/>
      <c r="K85" s="33"/>
      <c r="L85" s="34"/>
      <c r="M85" s="34"/>
      <c r="N85" s="34"/>
      <c r="O85" s="33"/>
      <c r="P85" s="9"/>
      <c r="Q85" s="9"/>
      <c r="R85" s="9"/>
      <c r="S85" s="9"/>
      <c r="T85" s="9"/>
    </row>
    <row r="86" spans="1:20" ht="13.5" customHeight="1" x14ac:dyDescent="0.25">
      <c r="A86" s="9"/>
      <c r="B86" s="35"/>
      <c r="C86" s="29"/>
      <c r="D86" s="38"/>
      <c r="E86" s="34"/>
      <c r="F86" s="34"/>
      <c r="G86" s="34"/>
      <c r="H86" s="34"/>
      <c r="I86" s="34"/>
      <c r="J86" s="32"/>
      <c r="K86" s="33"/>
      <c r="L86" s="34"/>
      <c r="M86" s="34"/>
      <c r="N86" s="34"/>
      <c r="O86" s="33"/>
      <c r="P86" s="9"/>
      <c r="Q86" s="9"/>
      <c r="R86" s="9"/>
      <c r="S86" s="9"/>
      <c r="T86" s="9"/>
    </row>
    <row r="87" spans="1:20" ht="13.5" customHeight="1" x14ac:dyDescent="0.25">
      <c r="A87" s="9"/>
      <c r="B87" s="35"/>
      <c r="C87" s="29"/>
      <c r="D87" s="36"/>
      <c r="E87" s="37"/>
      <c r="F87" s="37"/>
      <c r="G87" s="37"/>
      <c r="H87" s="37"/>
      <c r="I87" s="37"/>
      <c r="J87" s="32"/>
      <c r="K87" s="33"/>
      <c r="L87" s="34"/>
      <c r="M87" s="34"/>
      <c r="N87" s="34"/>
      <c r="O87" s="33"/>
      <c r="P87" s="9"/>
      <c r="Q87" s="9"/>
      <c r="R87" s="9"/>
      <c r="S87" s="9"/>
      <c r="T87" s="9"/>
    </row>
    <row r="88" spans="1:20" ht="13.5" customHeight="1" x14ac:dyDescent="0.25">
      <c r="A88" s="9"/>
      <c r="B88" s="28"/>
      <c r="C88" s="29"/>
      <c r="D88" s="36"/>
      <c r="E88" s="37"/>
      <c r="F88" s="37"/>
      <c r="G88" s="37"/>
      <c r="H88" s="37"/>
      <c r="I88" s="37"/>
      <c r="J88" s="32"/>
      <c r="K88" s="33"/>
      <c r="L88" s="34"/>
      <c r="M88" s="34"/>
      <c r="N88" s="34"/>
      <c r="O88" s="33"/>
      <c r="P88" s="9"/>
      <c r="Q88" s="9"/>
      <c r="R88" s="9"/>
      <c r="S88" s="9"/>
      <c r="T88" s="9"/>
    </row>
    <row r="89" spans="1:20" ht="13.5" customHeight="1" x14ac:dyDescent="0.25">
      <c r="A89" s="9"/>
      <c r="B89" s="28"/>
      <c r="C89" s="29"/>
      <c r="D89" s="30"/>
      <c r="E89" s="34"/>
      <c r="F89" s="34"/>
      <c r="G89" s="34"/>
      <c r="H89" s="34"/>
      <c r="I89" s="34"/>
      <c r="J89" s="32"/>
      <c r="K89" s="33"/>
      <c r="L89" s="34"/>
      <c r="M89" s="34"/>
      <c r="N89" s="34"/>
      <c r="O89" s="33"/>
      <c r="P89" s="9"/>
      <c r="Q89" s="9"/>
      <c r="R89" s="9"/>
      <c r="S89" s="9"/>
      <c r="T89" s="9"/>
    </row>
    <row r="90" spans="1:20" ht="13.5" customHeight="1" x14ac:dyDescent="0.25">
      <c r="A90" s="9"/>
      <c r="B90" s="35"/>
      <c r="C90" s="29"/>
      <c r="D90" s="36"/>
      <c r="E90" s="37"/>
      <c r="F90" s="37"/>
      <c r="G90" s="37"/>
      <c r="H90" s="37"/>
      <c r="I90" s="37"/>
      <c r="J90" s="32"/>
      <c r="K90" s="33"/>
      <c r="L90" s="34"/>
      <c r="M90" s="34"/>
      <c r="N90" s="34"/>
      <c r="O90" s="33"/>
      <c r="P90" s="9"/>
      <c r="Q90" s="9"/>
      <c r="R90" s="9"/>
      <c r="S90" s="9"/>
      <c r="T90" s="9"/>
    </row>
    <row r="91" spans="1:20" ht="13.5" customHeight="1" x14ac:dyDescent="0.25">
      <c r="A91" s="9"/>
      <c r="B91" s="28"/>
      <c r="C91" s="29"/>
      <c r="D91" s="36"/>
      <c r="E91" s="37"/>
      <c r="F91" s="37"/>
      <c r="G91" s="37"/>
      <c r="H91" s="37"/>
      <c r="I91" s="37"/>
      <c r="J91" s="32"/>
      <c r="K91" s="33"/>
      <c r="L91" s="34"/>
      <c r="M91" s="34"/>
      <c r="N91" s="34"/>
      <c r="O91" s="33"/>
      <c r="P91" s="9"/>
      <c r="Q91" s="9"/>
      <c r="R91" s="9"/>
      <c r="S91" s="9"/>
      <c r="T91" s="9"/>
    </row>
    <row r="92" spans="1:20" ht="13.5" customHeight="1" x14ac:dyDescent="0.25">
      <c r="A92" s="9"/>
      <c r="B92" s="28"/>
      <c r="C92" s="29"/>
      <c r="D92" s="36"/>
      <c r="E92" s="37"/>
      <c r="F92" s="37"/>
      <c r="G92" s="37"/>
      <c r="H92" s="37"/>
      <c r="I92" s="37"/>
      <c r="J92" s="32"/>
      <c r="K92" s="33"/>
      <c r="L92" s="34"/>
      <c r="M92" s="34"/>
      <c r="N92" s="34"/>
      <c r="O92" s="33"/>
      <c r="P92" s="9"/>
      <c r="Q92" s="9"/>
      <c r="R92" s="9"/>
      <c r="S92" s="9"/>
      <c r="T92" s="9"/>
    </row>
    <row r="93" spans="1:20" ht="13.5" customHeight="1" x14ac:dyDescent="0.25">
      <c r="A93" s="9"/>
      <c r="B93" s="28"/>
      <c r="C93" s="29"/>
      <c r="D93" s="36"/>
      <c r="E93" s="37"/>
      <c r="F93" s="37"/>
      <c r="G93" s="37"/>
      <c r="H93" s="37"/>
      <c r="I93" s="37"/>
      <c r="J93" s="32"/>
      <c r="K93" s="33"/>
      <c r="L93" s="34"/>
      <c r="M93" s="34"/>
      <c r="N93" s="34"/>
      <c r="O93" s="33"/>
      <c r="P93" s="9"/>
      <c r="Q93" s="9"/>
      <c r="R93" s="9"/>
      <c r="S93" s="9"/>
      <c r="T93" s="9"/>
    </row>
    <row r="94" spans="1:20" ht="13.5" customHeight="1" x14ac:dyDescent="0.25">
      <c r="A94" s="9"/>
      <c r="B94" s="35"/>
      <c r="C94" s="29"/>
      <c r="D94" s="30"/>
      <c r="E94" s="34"/>
      <c r="F94" s="34"/>
      <c r="G94" s="34"/>
      <c r="H94" s="34"/>
      <c r="I94" s="34"/>
      <c r="J94" s="32"/>
      <c r="K94" s="33"/>
      <c r="L94" s="34"/>
      <c r="M94" s="34"/>
      <c r="N94" s="34"/>
      <c r="O94" s="33"/>
      <c r="P94" s="9"/>
      <c r="Q94" s="9"/>
      <c r="R94" s="9"/>
      <c r="S94" s="9"/>
      <c r="T94" s="9"/>
    </row>
    <row r="95" spans="1:20" ht="13.5" customHeight="1" x14ac:dyDescent="0.25">
      <c r="A95" s="9"/>
      <c r="B95" s="28"/>
      <c r="C95" s="29"/>
      <c r="D95" s="30"/>
      <c r="E95" s="34"/>
      <c r="F95" s="34"/>
      <c r="G95" s="34"/>
      <c r="H95" s="34"/>
      <c r="I95" s="34"/>
      <c r="J95" s="32"/>
      <c r="K95" s="33"/>
      <c r="L95" s="34"/>
      <c r="M95" s="34"/>
      <c r="N95" s="34"/>
      <c r="O95" s="33"/>
      <c r="P95" s="9"/>
      <c r="Q95" s="9"/>
      <c r="R95" s="9"/>
      <c r="S95" s="9"/>
      <c r="T95" s="9"/>
    </row>
    <row r="96" spans="1:20" ht="13.5" customHeight="1" x14ac:dyDescent="0.25">
      <c r="A96" s="9"/>
      <c r="B96" s="35"/>
      <c r="C96" s="29"/>
      <c r="D96" s="30"/>
      <c r="E96" s="34"/>
      <c r="F96" s="34"/>
      <c r="G96" s="34"/>
      <c r="H96" s="34"/>
      <c r="I96" s="34"/>
      <c r="J96" s="32"/>
      <c r="K96" s="33"/>
      <c r="L96" s="34"/>
      <c r="M96" s="34"/>
      <c r="N96" s="34"/>
      <c r="O96" s="33"/>
      <c r="P96" s="9"/>
      <c r="Q96" s="9"/>
      <c r="R96" s="9"/>
      <c r="S96" s="9"/>
      <c r="T96" s="9"/>
    </row>
    <row r="97" spans="1:20" ht="13.5" customHeight="1" x14ac:dyDescent="0.25">
      <c r="A97" s="9"/>
      <c r="B97" s="35"/>
      <c r="C97" s="29"/>
      <c r="D97" s="30"/>
      <c r="E97" s="31"/>
      <c r="F97" s="31"/>
      <c r="G97" s="31"/>
      <c r="H97" s="31"/>
      <c r="I97" s="31"/>
      <c r="J97" s="32"/>
      <c r="K97" s="33"/>
      <c r="L97" s="34"/>
      <c r="M97" s="34"/>
      <c r="N97" s="34"/>
      <c r="O97" s="33"/>
      <c r="P97" s="9"/>
      <c r="Q97" s="9"/>
      <c r="R97" s="9"/>
      <c r="S97" s="9"/>
      <c r="T97" s="9"/>
    </row>
    <row r="98" spans="1:20" ht="13.5" customHeight="1" x14ac:dyDescent="0.25">
      <c r="A98" s="9"/>
      <c r="B98" s="35"/>
      <c r="C98" s="29"/>
      <c r="D98" s="30"/>
      <c r="E98" s="34"/>
      <c r="F98" s="34"/>
      <c r="G98" s="34"/>
      <c r="H98" s="34"/>
      <c r="I98" s="34"/>
      <c r="J98" s="32"/>
      <c r="K98" s="33"/>
      <c r="L98" s="34"/>
      <c r="M98" s="34"/>
      <c r="N98" s="34"/>
      <c r="O98" s="33"/>
      <c r="P98" s="9"/>
      <c r="Q98" s="9"/>
      <c r="R98" s="9"/>
      <c r="S98" s="9"/>
      <c r="T98" s="9"/>
    </row>
    <row r="99" spans="1:20" ht="13.5" customHeight="1" x14ac:dyDescent="0.25">
      <c r="A99" s="9"/>
      <c r="B99" s="28"/>
      <c r="C99" s="29"/>
      <c r="D99" s="36"/>
      <c r="E99" s="37"/>
      <c r="F99" s="37"/>
      <c r="G99" s="37"/>
      <c r="H99" s="37"/>
      <c r="I99" s="37"/>
      <c r="J99" s="32"/>
      <c r="K99" s="33"/>
      <c r="L99" s="34"/>
      <c r="M99" s="34"/>
      <c r="N99" s="34"/>
      <c r="O99" s="33"/>
      <c r="P99" s="9"/>
      <c r="Q99" s="9"/>
      <c r="R99" s="9"/>
      <c r="S99" s="9"/>
      <c r="T99" s="9"/>
    </row>
    <row r="100" spans="1:20" ht="13.5" customHeight="1" x14ac:dyDescent="0.25">
      <c r="A100" s="9"/>
      <c r="B100" s="35"/>
      <c r="C100" s="29"/>
      <c r="D100" s="36"/>
      <c r="E100" s="39"/>
      <c r="F100" s="39"/>
      <c r="G100" s="39"/>
      <c r="H100" s="39"/>
      <c r="I100" s="39"/>
      <c r="J100" s="32"/>
      <c r="K100" s="33"/>
      <c r="L100" s="34"/>
      <c r="M100" s="34"/>
      <c r="N100" s="34"/>
      <c r="O100" s="33"/>
      <c r="P100" s="9"/>
      <c r="Q100" s="9"/>
      <c r="R100" s="9"/>
      <c r="S100" s="9"/>
      <c r="T100" s="9"/>
    </row>
    <row r="101" spans="1:20" ht="13.5" customHeight="1" x14ac:dyDescent="0.25">
      <c r="A101" s="9"/>
      <c r="B101" s="28"/>
      <c r="C101" s="29"/>
      <c r="D101" s="36"/>
      <c r="E101" s="39"/>
      <c r="F101" s="39"/>
      <c r="G101" s="39"/>
      <c r="H101" s="39"/>
      <c r="I101" s="39"/>
      <c r="J101" s="32"/>
      <c r="K101" s="33"/>
      <c r="L101" s="34"/>
      <c r="M101" s="34"/>
      <c r="N101" s="34"/>
      <c r="O101" s="33"/>
      <c r="P101" s="9"/>
      <c r="Q101" s="9"/>
      <c r="R101" s="9"/>
      <c r="S101" s="9"/>
      <c r="T101" s="9"/>
    </row>
    <row r="102" spans="1:20" ht="13.5" customHeight="1" x14ac:dyDescent="0.25">
      <c r="A102" s="9"/>
      <c r="B102" s="35"/>
      <c r="C102" s="29"/>
      <c r="D102" s="36"/>
      <c r="E102" s="39"/>
      <c r="F102" s="39"/>
      <c r="G102" s="39"/>
      <c r="H102" s="39"/>
      <c r="I102" s="39"/>
      <c r="J102" s="32"/>
      <c r="K102" s="33"/>
      <c r="L102" s="34"/>
      <c r="M102" s="34"/>
      <c r="N102" s="34"/>
      <c r="O102" s="33"/>
      <c r="P102" s="9"/>
      <c r="Q102" s="9"/>
      <c r="R102" s="9"/>
      <c r="S102" s="9"/>
      <c r="T102" s="9"/>
    </row>
    <row r="103" spans="1:20" ht="13.5" customHeight="1" x14ac:dyDescent="0.25">
      <c r="A103" s="9"/>
      <c r="B103" s="28"/>
      <c r="C103" s="29"/>
      <c r="D103" s="36"/>
      <c r="E103" s="39"/>
      <c r="F103" s="39"/>
      <c r="G103" s="39"/>
      <c r="H103" s="39"/>
      <c r="I103" s="39"/>
      <c r="J103" s="32"/>
      <c r="K103" s="33"/>
      <c r="L103" s="34"/>
      <c r="M103" s="34"/>
      <c r="N103" s="34"/>
      <c r="O103" s="33"/>
      <c r="P103" s="9"/>
      <c r="Q103" s="9"/>
      <c r="R103" s="9"/>
      <c r="S103" s="9"/>
      <c r="T103" s="9"/>
    </row>
    <row r="104" spans="1:20" ht="13.5" customHeight="1" x14ac:dyDescent="0.25">
      <c r="A104" s="9"/>
      <c r="B104" s="35"/>
      <c r="C104" s="29"/>
      <c r="D104" s="36"/>
      <c r="E104" s="39"/>
      <c r="F104" s="39"/>
      <c r="G104" s="39"/>
      <c r="H104" s="39"/>
      <c r="I104" s="39"/>
      <c r="J104" s="32"/>
      <c r="K104" s="33"/>
      <c r="L104" s="34"/>
      <c r="M104" s="34"/>
      <c r="N104" s="34"/>
      <c r="O104" s="33"/>
      <c r="P104" s="9"/>
      <c r="Q104" s="9"/>
      <c r="R104" s="9"/>
      <c r="S104" s="9"/>
      <c r="T104" s="9"/>
    </row>
    <row r="105" spans="1:20" ht="13.5" customHeight="1" x14ac:dyDescent="0.25">
      <c r="A105" s="9"/>
      <c r="P105" s="9"/>
      <c r="Q105" s="9"/>
      <c r="R105" s="9"/>
      <c r="S105" s="9"/>
      <c r="T105" s="9"/>
    </row>
    <row r="106" spans="1:20" ht="13.5" customHeight="1" x14ac:dyDescent="0.25">
      <c r="A106" s="9"/>
      <c r="B106" s="28"/>
      <c r="C106" s="29"/>
      <c r="D106" s="36"/>
      <c r="E106" s="39"/>
      <c r="F106" s="39"/>
      <c r="G106" s="39"/>
      <c r="H106" s="39"/>
      <c r="I106" s="39"/>
      <c r="J106" s="32"/>
      <c r="K106" s="33"/>
      <c r="L106" s="34"/>
      <c r="M106" s="34"/>
      <c r="N106" s="34"/>
      <c r="O106" s="33"/>
      <c r="P106" s="9"/>
      <c r="Q106" s="9"/>
      <c r="R106" s="9"/>
      <c r="S106" s="9"/>
      <c r="T106" s="9"/>
    </row>
    <row r="107" spans="1:20" ht="13.5" customHeight="1" x14ac:dyDescent="0.25">
      <c r="A107" s="9"/>
      <c r="B107" s="35"/>
      <c r="C107" s="29"/>
      <c r="D107" s="36"/>
      <c r="E107" s="39"/>
      <c r="F107" s="39"/>
      <c r="G107" s="39"/>
      <c r="H107" s="39"/>
      <c r="I107" s="39"/>
      <c r="J107" s="32"/>
      <c r="K107" s="33"/>
      <c r="L107" s="34"/>
      <c r="M107" s="34"/>
      <c r="N107" s="34"/>
      <c r="O107" s="33"/>
      <c r="P107" s="9"/>
      <c r="Q107" s="9"/>
      <c r="R107" s="9"/>
      <c r="S107" s="9"/>
      <c r="T107" s="9"/>
    </row>
    <row r="108" spans="1:20" ht="13.5" customHeight="1" x14ac:dyDescent="0.25">
      <c r="A108" s="9"/>
      <c r="B108" s="28"/>
      <c r="C108" s="29"/>
      <c r="D108" s="36"/>
      <c r="E108" s="39"/>
      <c r="F108" s="39"/>
      <c r="G108" s="39"/>
      <c r="H108" s="39"/>
      <c r="I108" s="39"/>
      <c r="J108" s="32"/>
      <c r="K108" s="33"/>
      <c r="L108" s="34"/>
      <c r="M108" s="34"/>
      <c r="N108" s="34"/>
      <c r="O108" s="33"/>
      <c r="P108" s="9"/>
      <c r="Q108" s="9"/>
      <c r="R108" s="9"/>
      <c r="S108" s="9"/>
      <c r="T108" s="9"/>
    </row>
    <row r="109" spans="1:20" ht="13.5" customHeight="1" x14ac:dyDescent="0.25">
      <c r="A109" s="9"/>
      <c r="B109" s="35"/>
      <c r="C109" s="29"/>
      <c r="D109" s="36"/>
      <c r="E109" s="39"/>
      <c r="F109" s="39"/>
      <c r="G109" s="39"/>
      <c r="H109" s="39"/>
      <c r="I109" s="39"/>
      <c r="J109" s="32"/>
      <c r="K109" s="33"/>
      <c r="L109" s="34"/>
      <c r="M109" s="34"/>
      <c r="N109" s="34"/>
      <c r="O109" s="33"/>
      <c r="P109" s="9"/>
      <c r="Q109" s="9"/>
      <c r="R109" s="9"/>
      <c r="S109" s="9"/>
      <c r="T109" s="9"/>
    </row>
    <row r="110" spans="1:20" ht="13.5" customHeight="1" x14ac:dyDescent="0.25">
      <c r="A110" s="9"/>
      <c r="B110" s="28"/>
      <c r="C110" s="29"/>
      <c r="D110" s="36"/>
      <c r="E110" s="39"/>
      <c r="F110" s="39"/>
      <c r="G110" s="39"/>
      <c r="H110" s="39"/>
      <c r="I110" s="39"/>
      <c r="J110" s="32"/>
      <c r="K110" s="33"/>
      <c r="L110" s="34"/>
      <c r="M110" s="34"/>
      <c r="N110" s="34"/>
      <c r="O110" s="33"/>
      <c r="P110" s="9"/>
      <c r="Q110" s="9"/>
      <c r="R110" s="9"/>
      <c r="S110" s="9"/>
      <c r="T110" s="9"/>
    </row>
    <row r="111" spans="1:20" ht="13.5" customHeight="1" x14ac:dyDescent="0.25">
      <c r="A111" s="9"/>
      <c r="B111" s="35"/>
      <c r="C111" s="29"/>
      <c r="D111" s="36"/>
      <c r="E111" s="39"/>
      <c r="F111" s="39"/>
      <c r="G111" s="39"/>
      <c r="H111" s="39"/>
      <c r="I111" s="39"/>
      <c r="J111" s="32"/>
      <c r="K111" s="33"/>
      <c r="L111" s="34"/>
      <c r="M111" s="34"/>
      <c r="N111" s="34"/>
      <c r="O111" s="33"/>
      <c r="P111" s="9"/>
      <c r="Q111" s="9"/>
      <c r="R111" s="9"/>
      <c r="S111" s="9"/>
      <c r="T111" s="9"/>
    </row>
    <row r="112" spans="1:20" ht="13.5" customHeight="1" x14ac:dyDescent="0.25">
      <c r="A112" s="9"/>
      <c r="B112" s="28"/>
      <c r="C112" s="29"/>
      <c r="D112" s="36"/>
      <c r="E112" s="39"/>
      <c r="F112" s="39"/>
      <c r="G112" s="39"/>
      <c r="H112" s="39"/>
      <c r="I112" s="39"/>
      <c r="J112" s="32"/>
      <c r="K112" s="33"/>
      <c r="L112" s="34"/>
      <c r="M112" s="34"/>
      <c r="N112" s="34"/>
      <c r="O112" s="33"/>
      <c r="P112" s="9"/>
      <c r="Q112" s="9"/>
      <c r="R112" s="9"/>
      <c r="S112" s="9"/>
      <c r="T112" s="9"/>
    </row>
    <row r="113" spans="1:20" ht="13.5" customHeight="1" x14ac:dyDescent="0.25">
      <c r="A113" s="9"/>
      <c r="B113" s="35"/>
      <c r="C113" s="29"/>
      <c r="D113" s="36"/>
      <c r="E113" s="39"/>
      <c r="F113" s="39"/>
      <c r="G113" s="39"/>
      <c r="H113" s="39"/>
      <c r="I113" s="39"/>
      <c r="J113" s="32"/>
      <c r="K113" s="33"/>
      <c r="L113" s="34"/>
      <c r="M113" s="34"/>
      <c r="N113" s="34"/>
      <c r="O113" s="33"/>
      <c r="P113" s="9"/>
      <c r="Q113" s="9"/>
      <c r="R113" s="9"/>
      <c r="S113" s="9"/>
      <c r="T113" s="9"/>
    </row>
    <row r="114" spans="1:20" ht="13.5" customHeight="1" x14ac:dyDescent="0.25">
      <c r="A114" s="9"/>
      <c r="B114" s="28"/>
      <c r="C114" s="29"/>
      <c r="E114" s="39"/>
      <c r="F114" s="39"/>
      <c r="G114" s="39"/>
      <c r="H114" s="39"/>
      <c r="I114" s="39"/>
      <c r="J114" s="32"/>
      <c r="K114" s="33"/>
      <c r="L114" s="34"/>
      <c r="M114" s="34"/>
      <c r="N114" s="34"/>
      <c r="O114" s="33"/>
      <c r="P114" s="9"/>
      <c r="Q114" s="9"/>
      <c r="R114" s="9"/>
      <c r="S114" s="9"/>
      <c r="T114" s="9"/>
    </row>
    <row r="115" spans="1:20" ht="13.5" customHeight="1" x14ac:dyDescent="0.25">
      <c r="A115" s="9"/>
      <c r="B115" s="28"/>
      <c r="C115" s="29"/>
      <c r="E115" s="39"/>
      <c r="F115" s="39"/>
      <c r="G115" s="39"/>
      <c r="H115" s="39"/>
      <c r="I115" s="39"/>
      <c r="J115" s="32"/>
      <c r="K115" s="33"/>
      <c r="L115" s="34"/>
      <c r="M115" s="34"/>
      <c r="N115" s="34"/>
      <c r="O115" s="33"/>
      <c r="P115" s="9"/>
      <c r="Q115" s="9"/>
      <c r="R115" s="9"/>
      <c r="S115" s="9"/>
      <c r="T115" s="9"/>
    </row>
    <row r="116" spans="1:20" ht="13.5" customHeight="1" x14ac:dyDescent="0.25">
      <c r="A116" s="9"/>
      <c r="B116" s="28"/>
      <c r="C116" s="29"/>
      <c r="E116" s="39"/>
      <c r="F116" s="39"/>
      <c r="G116" s="39"/>
      <c r="H116" s="39"/>
      <c r="I116" s="39"/>
      <c r="J116" s="32"/>
      <c r="K116" s="33"/>
      <c r="L116" s="34"/>
      <c r="M116" s="34"/>
      <c r="N116" s="34"/>
      <c r="O116" s="33"/>
      <c r="P116" s="9"/>
      <c r="Q116" s="9"/>
      <c r="R116" s="9"/>
      <c r="S116" s="9"/>
      <c r="T116" s="9"/>
    </row>
    <row r="117" spans="1:20" ht="13.5" customHeight="1" x14ac:dyDescent="0.25">
      <c r="A117" s="9"/>
      <c r="B117" s="28"/>
      <c r="C117" s="29"/>
      <c r="E117" s="39"/>
      <c r="F117" s="39"/>
      <c r="G117" s="39"/>
      <c r="H117" s="39"/>
      <c r="I117" s="39"/>
      <c r="J117" s="32"/>
      <c r="K117" s="33"/>
      <c r="L117" s="34"/>
      <c r="M117" s="34"/>
      <c r="N117" s="34"/>
      <c r="O117" s="33"/>
      <c r="P117" s="9"/>
      <c r="Q117" s="9"/>
      <c r="R117" s="9"/>
      <c r="S117" s="9"/>
      <c r="T117" s="9"/>
    </row>
    <row r="118" spans="1:20" ht="13.5" customHeight="1" x14ac:dyDescent="0.25">
      <c r="A118" s="9"/>
      <c r="B118" s="28"/>
      <c r="C118" s="29"/>
      <c r="E118" s="39"/>
      <c r="F118" s="39"/>
      <c r="G118" s="39"/>
      <c r="H118" s="39"/>
      <c r="I118" s="39"/>
      <c r="J118" s="32"/>
      <c r="K118" s="33"/>
      <c r="L118" s="34"/>
      <c r="M118" s="34"/>
      <c r="N118" s="34"/>
      <c r="O118" s="33"/>
      <c r="P118" s="9"/>
      <c r="Q118" s="9"/>
      <c r="R118" s="9"/>
      <c r="S118" s="9"/>
      <c r="T118" s="9"/>
    </row>
    <row r="119" spans="1:20" ht="13.5" customHeight="1" x14ac:dyDescent="0.25">
      <c r="A119" s="9"/>
      <c r="B119" s="28"/>
      <c r="C119" s="29"/>
      <c r="E119" s="39"/>
      <c r="F119" s="39"/>
      <c r="G119" s="39"/>
      <c r="H119" s="39"/>
      <c r="I119" s="39"/>
      <c r="J119" s="32"/>
      <c r="K119" s="33"/>
      <c r="L119" s="34"/>
      <c r="M119" s="34"/>
      <c r="N119" s="34"/>
      <c r="O119" s="33"/>
      <c r="P119" s="9"/>
      <c r="Q119" s="9"/>
      <c r="R119" s="9"/>
      <c r="S119" s="9"/>
      <c r="T119" s="9"/>
    </row>
    <row r="120" spans="1:20" ht="13.5" customHeight="1" x14ac:dyDescent="0.25">
      <c r="A120" s="9"/>
      <c r="B120" s="28"/>
      <c r="C120" s="29"/>
      <c r="E120" s="39"/>
      <c r="F120" s="39"/>
      <c r="G120" s="39"/>
      <c r="H120" s="39"/>
      <c r="I120" s="39"/>
      <c r="J120" s="32"/>
      <c r="K120" s="33"/>
      <c r="L120" s="34"/>
      <c r="M120" s="34"/>
      <c r="N120" s="34"/>
      <c r="O120" s="33"/>
      <c r="P120" s="9"/>
      <c r="Q120" s="9"/>
      <c r="R120" s="9"/>
      <c r="S120" s="9"/>
      <c r="T120" s="9"/>
    </row>
    <row r="121" spans="1:20" ht="13.5" customHeight="1" x14ac:dyDescent="0.25">
      <c r="A121" s="9"/>
      <c r="B121" s="28"/>
      <c r="C121" s="29"/>
      <c r="E121" s="39"/>
      <c r="F121" s="39"/>
      <c r="G121" s="39"/>
      <c r="H121" s="39"/>
      <c r="I121" s="39"/>
      <c r="J121" s="32"/>
      <c r="K121" s="33"/>
      <c r="L121" s="34"/>
      <c r="M121" s="34"/>
      <c r="N121" s="34"/>
      <c r="O121" s="33"/>
      <c r="P121" s="9"/>
      <c r="Q121" s="9"/>
      <c r="R121" s="9"/>
      <c r="S121" s="9"/>
      <c r="T121" s="9"/>
    </row>
    <row r="122" spans="1:20" ht="13.5" customHeight="1" x14ac:dyDescent="0.25">
      <c r="A122" s="9"/>
      <c r="P122" s="9"/>
      <c r="Q122" s="9"/>
      <c r="R122" s="9"/>
      <c r="S122" s="9"/>
      <c r="T122" s="9"/>
    </row>
    <row r="123" spans="1:20" ht="13.5" customHeight="1" x14ac:dyDescent="0.25">
      <c r="A123" s="9"/>
      <c r="B123" s="28"/>
      <c r="C123" s="29"/>
      <c r="E123" s="39"/>
      <c r="F123" s="39"/>
      <c r="G123" s="39"/>
      <c r="H123" s="39"/>
      <c r="I123" s="39"/>
      <c r="J123" s="32"/>
      <c r="K123" s="33"/>
      <c r="L123" s="34"/>
      <c r="M123" s="34"/>
      <c r="N123" s="34"/>
      <c r="O123" s="33"/>
      <c r="P123" s="9"/>
      <c r="Q123" s="9"/>
      <c r="R123" s="9"/>
      <c r="S123" s="9"/>
      <c r="T123" s="9"/>
    </row>
    <row r="124" spans="1:20" ht="13.5" customHeight="1" x14ac:dyDescent="0.25">
      <c r="A124" s="9"/>
      <c r="B124" s="28"/>
      <c r="C124" s="29"/>
      <c r="E124" s="39"/>
      <c r="F124" s="39"/>
      <c r="G124" s="39"/>
      <c r="H124" s="39"/>
      <c r="I124" s="39"/>
      <c r="J124" s="32"/>
      <c r="K124" s="33"/>
      <c r="L124" s="34"/>
      <c r="M124" s="34"/>
      <c r="N124" s="34"/>
      <c r="O124" s="33"/>
      <c r="P124" s="9"/>
      <c r="Q124" s="9"/>
      <c r="R124" s="9"/>
      <c r="S124" s="9"/>
      <c r="T124" s="9"/>
    </row>
    <row r="125" spans="1:20" ht="13.5" customHeight="1" x14ac:dyDescent="0.25">
      <c r="A125" s="9"/>
      <c r="B125" s="28"/>
      <c r="C125" s="29"/>
      <c r="E125" s="39"/>
      <c r="F125" s="39"/>
      <c r="G125" s="39"/>
      <c r="H125" s="39"/>
      <c r="I125" s="39"/>
      <c r="J125" s="32"/>
      <c r="K125" s="33"/>
      <c r="L125" s="34"/>
      <c r="M125" s="34"/>
      <c r="N125" s="34"/>
      <c r="O125" s="33"/>
      <c r="P125" s="9"/>
      <c r="Q125" s="9"/>
      <c r="R125" s="9"/>
      <c r="S125" s="9"/>
      <c r="T125" s="9"/>
    </row>
    <row r="126" spans="1:20" ht="13.5" customHeight="1" x14ac:dyDescent="0.25">
      <c r="A126" s="9"/>
      <c r="B126" s="28"/>
      <c r="C126" s="29"/>
      <c r="E126" s="39"/>
      <c r="F126" s="39"/>
      <c r="G126" s="39"/>
      <c r="H126" s="39"/>
      <c r="I126" s="39"/>
      <c r="L126" s="39"/>
      <c r="M126" s="39"/>
      <c r="N126" s="39"/>
      <c r="P126" s="9"/>
      <c r="Q126" s="9"/>
      <c r="R126" s="9"/>
      <c r="S126" s="9"/>
      <c r="T126" s="9"/>
    </row>
    <row r="127" spans="1:20" ht="13.5" customHeight="1" x14ac:dyDescent="0.25">
      <c r="A127" s="9"/>
      <c r="C127" s="29"/>
      <c r="E127" s="39"/>
      <c r="F127" s="39"/>
      <c r="G127" s="39"/>
      <c r="H127" s="39"/>
      <c r="I127" s="39"/>
      <c r="L127" s="39"/>
      <c r="M127" s="39"/>
      <c r="N127" s="39"/>
      <c r="P127" s="9"/>
      <c r="Q127" s="9"/>
      <c r="R127" s="9"/>
      <c r="S127" s="9"/>
      <c r="T127" s="9"/>
    </row>
    <row r="128" spans="1:20" ht="13.5" customHeight="1" x14ac:dyDescent="0.25">
      <c r="E128" s="39"/>
      <c r="F128" s="39"/>
      <c r="G128" s="39"/>
      <c r="H128" s="39"/>
      <c r="I128" s="39"/>
      <c r="L128" s="39"/>
      <c r="M128" s="39"/>
      <c r="N128" s="39"/>
    </row>
    <row r="129" spans="2:15" ht="13.5" customHeight="1" x14ac:dyDescent="0.25">
      <c r="B129" s="35"/>
      <c r="C129" s="29"/>
      <c r="D129" s="36"/>
      <c r="E129" s="37"/>
      <c r="F129" s="37"/>
      <c r="G129" s="37"/>
      <c r="H129" s="37"/>
      <c r="I129" s="37"/>
      <c r="J129" s="32"/>
      <c r="K129" s="33"/>
      <c r="L129" s="34"/>
      <c r="M129" s="34"/>
      <c r="N129" s="34"/>
      <c r="O129" s="33"/>
    </row>
    <row r="130" spans="2:15" ht="13.5" customHeight="1" x14ac:dyDescent="0.25">
      <c r="C130" s="29"/>
      <c r="E130" s="39"/>
      <c r="F130" s="39"/>
      <c r="G130" s="39"/>
      <c r="H130" s="39"/>
      <c r="I130" s="39"/>
      <c r="L130" s="39"/>
      <c r="M130" s="39"/>
      <c r="N130" s="39"/>
    </row>
    <row r="131" spans="2:15" ht="13.5" customHeight="1" x14ac:dyDescent="0.25">
      <c r="E131" s="39"/>
      <c r="F131" s="39"/>
      <c r="G131" s="39"/>
      <c r="H131" s="39"/>
      <c r="I131" s="39"/>
      <c r="L131" s="39"/>
      <c r="M131" s="39"/>
      <c r="N131" s="39"/>
    </row>
    <row r="132" spans="2:15" ht="13.5" customHeight="1" x14ac:dyDescent="0.25">
      <c r="B132" s="35"/>
      <c r="C132" s="29"/>
      <c r="D132" s="36"/>
      <c r="E132" s="37"/>
      <c r="F132" s="37"/>
      <c r="G132" s="37"/>
      <c r="H132" s="37"/>
      <c r="I132" s="37"/>
      <c r="J132" s="32"/>
      <c r="K132" s="33"/>
      <c r="L132" s="34"/>
      <c r="M132" s="34"/>
      <c r="N132" s="34"/>
      <c r="O132" s="33"/>
    </row>
    <row r="133" spans="2:15" ht="13.5" customHeight="1" x14ac:dyDescent="0.25">
      <c r="E133" s="39"/>
      <c r="F133" s="39"/>
      <c r="G133" s="39"/>
      <c r="H133" s="39"/>
      <c r="I133" s="39"/>
      <c r="L133" s="39"/>
      <c r="M133" s="39"/>
      <c r="N133" s="39"/>
    </row>
    <row r="134" spans="2:15" ht="13.5" customHeight="1" x14ac:dyDescent="0.25">
      <c r="E134" s="39"/>
      <c r="F134" s="39"/>
      <c r="G134" s="39"/>
      <c r="H134" s="39"/>
      <c r="I134" s="39"/>
      <c r="L134" s="39"/>
      <c r="M134" s="39"/>
      <c r="N134" s="39"/>
    </row>
    <row r="135" spans="2:15" ht="13.5" customHeight="1" x14ac:dyDescent="0.25">
      <c r="B135" s="4"/>
      <c r="C135" s="4"/>
      <c r="E135" s="39"/>
      <c r="F135" s="39"/>
      <c r="G135" s="39"/>
      <c r="H135" s="39"/>
      <c r="I135" s="39"/>
      <c r="J135" s="39"/>
      <c r="L135" s="39"/>
      <c r="M135" s="39"/>
      <c r="N135" s="39"/>
    </row>
    <row r="136" spans="2:15" ht="13.5" customHeight="1" x14ac:dyDescent="0.25">
      <c r="B136" s="4"/>
      <c r="C136" s="4"/>
      <c r="L136" s="39"/>
      <c r="M136" s="39"/>
      <c r="N136" s="39"/>
      <c r="O136" s="4"/>
    </row>
    <row r="137" spans="2:15" ht="13.5" customHeight="1" x14ac:dyDescent="0.25">
      <c r="B137" s="4"/>
      <c r="C137" s="4"/>
      <c r="L137" s="39"/>
      <c r="M137" s="39"/>
      <c r="N137" s="39"/>
      <c r="O137" s="4"/>
    </row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/>
    <row r="151" spans="2:15" ht="13.5" customHeight="1" x14ac:dyDescent="0.25"/>
    <row r="152" spans="2:15" ht="13.5" customHeight="1" x14ac:dyDescent="0.25">
      <c r="B152" s="28"/>
      <c r="C152" s="29"/>
      <c r="E152" s="39"/>
      <c r="F152" s="39"/>
      <c r="G152" s="39"/>
      <c r="H152" s="39"/>
      <c r="I152" s="39"/>
      <c r="J152" s="32"/>
      <c r="K152" s="33"/>
      <c r="L152" s="34"/>
      <c r="M152" s="34"/>
      <c r="N152" s="34"/>
      <c r="O152" s="33"/>
    </row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/>
    <row r="162" spans="2:15" ht="13.5" customHeight="1" x14ac:dyDescent="0.25"/>
    <row r="163" spans="2:15" ht="13.5" customHeight="1" x14ac:dyDescent="0.25">
      <c r="B163" s="35"/>
      <c r="C163" s="29"/>
      <c r="D163" s="30"/>
      <c r="E163" s="34"/>
      <c r="F163" s="34"/>
      <c r="G163" s="34"/>
      <c r="H163" s="34"/>
      <c r="I163" s="34"/>
      <c r="J163" s="32"/>
      <c r="K163" s="33"/>
      <c r="L163" s="34"/>
      <c r="M163" s="34"/>
      <c r="N163" s="34"/>
      <c r="O163" s="33"/>
    </row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  <row r="177" ht="13.5" customHeight="1" x14ac:dyDescent="0.25"/>
    <row r="178" ht="13.5" customHeight="1" x14ac:dyDescent="0.25"/>
  </sheetData>
  <sheetProtection selectLockedCells="1"/>
  <mergeCells count="15">
    <mergeCell ref="D10:K10"/>
    <mergeCell ref="B11:C11"/>
    <mergeCell ref="B13:D13"/>
    <mergeCell ref="E13:N13"/>
    <mergeCell ref="B14:D14"/>
    <mergeCell ref="E14:G14"/>
    <mergeCell ref="H14:N14"/>
    <mergeCell ref="B15:D15"/>
    <mergeCell ref="E15:G15"/>
    <mergeCell ref="H15:N15"/>
    <mergeCell ref="B16:B18"/>
    <mergeCell ref="C16:C18"/>
    <mergeCell ref="D16:D18"/>
    <mergeCell ref="E16:J16"/>
    <mergeCell ref="L16:N16"/>
  </mergeCells>
  <conditionalFormatting sqref="G111:O122 B82:O110 B19:O80">
    <cfRule type="expression" dxfId="15" priority="14">
      <formula>$C19&lt;&gt;""</formula>
    </cfRule>
  </conditionalFormatting>
  <conditionalFormatting sqref="O82:O122 J82:K122 O19:O80 J19:K80">
    <cfRule type="expression" dxfId="14" priority="13">
      <formula>$C19&lt;&gt;""</formula>
    </cfRule>
  </conditionalFormatting>
  <conditionalFormatting sqref="A19:T78 A80:T80 A82:T1968 B79:O80">
    <cfRule type="expression" dxfId="13" priority="12">
      <formula>$C19=""</formula>
    </cfRule>
  </conditionalFormatting>
  <conditionalFormatting sqref="K82:K122 K19:K80">
    <cfRule type="containsText" dxfId="12" priority="11" operator="containsText" text="Not yet Competent">
      <formula>NOT(ISERROR(SEARCH("Not yet Competent",K19)))</formula>
    </cfRule>
  </conditionalFormatting>
  <conditionalFormatting sqref="O82:O122 O19:O80">
    <cfRule type="containsText" dxfId="11" priority="9" operator="containsText" text="Ongoing">
      <formula>NOT(ISERROR(SEARCH("Ongoing",O19)))</formula>
    </cfRule>
    <cfRule type="containsText" dxfId="10" priority="10" operator="containsText" text="Re-Assessment">
      <formula>NOT(ISERROR(SEARCH("Re-Assessment",O19)))</formula>
    </cfRule>
  </conditionalFormatting>
  <conditionalFormatting sqref="A81 C79 P81:T81">
    <cfRule type="expression" dxfId="9" priority="24">
      <formula>$C77=""</formula>
    </cfRule>
  </conditionalFormatting>
  <conditionalFormatting sqref="A79 P79:T79">
    <cfRule type="expression" dxfId="8" priority="26">
      <formula>#REF!=""</formula>
    </cfRule>
  </conditionalFormatting>
  <conditionalFormatting sqref="C80">
    <cfRule type="expression" dxfId="7" priority="8">
      <formula>$C78=""</formula>
    </cfRule>
  </conditionalFormatting>
  <conditionalFormatting sqref="B81:O81">
    <cfRule type="expression" dxfId="6" priority="6">
      <formula>$C81&lt;&gt;""</formula>
    </cfRule>
  </conditionalFormatting>
  <conditionalFormatting sqref="O81 J81:K81">
    <cfRule type="expression" dxfId="5" priority="5">
      <formula>$C81&lt;&gt;""</formula>
    </cfRule>
  </conditionalFormatting>
  <conditionalFormatting sqref="B81:O81">
    <cfRule type="expression" dxfId="4" priority="4">
      <formula>$C81=""</formula>
    </cfRule>
  </conditionalFormatting>
  <conditionalFormatting sqref="K81">
    <cfRule type="containsText" dxfId="3" priority="3" operator="containsText" text="Not yet Competent">
      <formula>NOT(ISERROR(SEARCH("Not yet Competent",K81)))</formula>
    </cfRule>
  </conditionalFormatting>
  <conditionalFormatting sqref="O81">
    <cfRule type="containsText" dxfId="2" priority="1" operator="containsText" text="Ongoing">
      <formula>NOT(ISERROR(SEARCH("Ongoing",O81)))</formula>
    </cfRule>
    <cfRule type="containsText" dxfId="1" priority="2" operator="containsText" text="Re-Assessment">
      <formula>NOT(ISERROR(SEARCH("Re-Assessment",O81)))</formula>
    </cfRule>
  </conditionalFormatting>
  <conditionalFormatting sqref="C81">
    <cfRule type="expression" dxfId="0" priority="7">
      <formula>$C79=""</formula>
    </cfRule>
  </conditionalFormatting>
  <dataValidations count="8">
    <dataValidation type="list" allowBlank="1" showInputMessage="1" showErrorMessage="1" sqref="O15">
      <formula1>"SM,GM,CM"</formula1>
    </dataValidation>
    <dataValidation type="list" allowBlank="1" showInputMessage="1" sqref="O16">
      <formula1>"Completed,Ongoing,Not yet Taught"</formula1>
    </dataValidation>
    <dataValidation type="list" allowBlank="1" showInputMessage="1" showErrorMessage="1" sqref="D11">
      <formula1>"FIRST TERM,SECOND TERM,THIRD TERM"</formula1>
    </dataValidation>
    <dataValidation allowBlank="1" showInputMessage="1" showErrorMessage="1" sqref="E13:O13"/>
    <dataValidation type="custom" errorStyle="warning" allowBlank="1" showInputMessage="1" showErrorMessage="1" errorTitle="These Data are Allready Exist" error="Please these Records are allready exist, Try to Enter the New one" sqref="D52:D54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55 D19:D45 D47:D49">
      <formula1>COUNTIFS($D$6:$D$1048576,$D19,$E$6:$E$1048576,$E19)&lt;=1</formula1>
    </dataValidation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Landry</cp:lastModifiedBy>
  <dcterms:created xsi:type="dcterms:W3CDTF">2025-06-13T12:41:41Z</dcterms:created>
  <dcterms:modified xsi:type="dcterms:W3CDTF">2025-09-19T12:15:42Z</dcterms:modified>
</cp:coreProperties>
</file>